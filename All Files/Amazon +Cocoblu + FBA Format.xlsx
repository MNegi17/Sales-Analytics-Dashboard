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y Drive\Manan\Analysis\Amazon&amp;Firstcry\"/>
    </mc:Choice>
  </mc:AlternateContent>
  <xr:revisionPtr revIDLastSave="0" documentId="13_ncr:1_{1BE1983A-56DF-4F1E-B8BA-7141EF43F525}" xr6:coauthVersionLast="47" xr6:coauthVersionMax="47" xr10:uidLastSave="{00000000-0000-0000-0000-000000000000}"/>
  <bookViews>
    <workbookView xWindow="-120" yWindow="-120" windowWidth="20730" windowHeight="11760" xr2:uid="{90C21E4D-0E51-4880-9E68-51F146467E45}"/>
  </bookViews>
  <sheets>
    <sheet name="Amazon_Cocoblue+August'26+FBA" sheetId="1" r:id="rId1"/>
  </sheets>
  <definedNames>
    <definedName name="_xlnm._FilterDatabase" localSheetId="0" hidden="1">'Amazon_Cocoblue+August''26+FBA'!$O$1:$O$80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0" i="1" l="1"/>
  <c r="O10" i="1" s="1"/>
  <c r="N11" i="1"/>
  <c r="O11" i="1" s="1"/>
  <c r="N18" i="1"/>
  <c r="O18" i="1" s="1"/>
  <c r="N19" i="1"/>
  <c r="O19" i="1" s="1"/>
  <c r="N26" i="1"/>
  <c r="O26" i="1" s="1"/>
  <c r="N27" i="1"/>
  <c r="O27" i="1" s="1"/>
  <c r="K33" i="1"/>
  <c r="O72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37" i="1"/>
  <c r="O4" i="1"/>
  <c r="O5" i="1"/>
  <c r="O13" i="1"/>
  <c r="O14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37" i="1"/>
  <c r="M33" i="1"/>
  <c r="L33" i="1"/>
  <c r="N4" i="1"/>
  <c r="N5" i="1"/>
  <c r="N6" i="1"/>
  <c r="O6" i="1" s="1"/>
  <c r="N7" i="1"/>
  <c r="O7" i="1" s="1"/>
  <c r="N8" i="1"/>
  <c r="O8" i="1" s="1"/>
  <c r="N9" i="1"/>
  <c r="O9" i="1" s="1"/>
  <c r="N12" i="1"/>
  <c r="O12" i="1" s="1"/>
  <c r="N13" i="1"/>
  <c r="N14" i="1"/>
  <c r="N15" i="1"/>
  <c r="O15" i="1" s="1"/>
  <c r="N16" i="1"/>
  <c r="O16" i="1" s="1"/>
  <c r="N17" i="1"/>
  <c r="O17" i="1" s="1"/>
  <c r="N20" i="1"/>
  <c r="O20" i="1" s="1"/>
  <c r="N21" i="1"/>
  <c r="O21" i="1" s="1"/>
  <c r="N22" i="1"/>
  <c r="O22" i="1" s="1"/>
  <c r="N23" i="1"/>
  <c r="O23" i="1" s="1"/>
  <c r="N24" i="1"/>
  <c r="O24" i="1" s="1"/>
  <c r="N25" i="1"/>
  <c r="O25" i="1" s="1"/>
  <c r="N28" i="1"/>
  <c r="O28" i="1" s="1"/>
  <c r="N29" i="1"/>
  <c r="O29" i="1" s="1"/>
  <c r="N30" i="1"/>
  <c r="O30" i="1" s="1"/>
  <c r="N31" i="1"/>
  <c r="O31" i="1" s="1"/>
  <c r="N32" i="1"/>
  <c r="O32" i="1" s="1"/>
  <c r="N67" i="1"/>
  <c r="N72" i="1" s="1"/>
  <c r="J43" i="1"/>
  <c r="J45" i="1"/>
  <c r="J51" i="1"/>
  <c r="J53" i="1"/>
  <c r="J59" i="1"/>
  <c r="J61" i="1"/>
  <c r="G67" i="1"/>
  <c r="J38" i="1"/>
  <c r="J39" i="1"/>
  <c r="J40" i="1"/>
  <c r="J41" i="1"/>
  <c r="J42" i="1"/>
  <c r="J44" i="1"/>
  <c r="J46" i="1"/>
  <c r="J47" i="1"/>
  <c r="J48" i="1"/>
  <c r="J49" i="1"/>
  <c r="J50" i="1"/>
  <c r="J52" i="1"/>
  <c r="J54" i="1"/>
  <c r="J55" i="1"/>
  <c r="J56" i="1"/>
  <c r="J57" i="1"/>
  <c r="J58" i="1"/>
  <c r="J60" i="1"/>
  <c r="J62" i="1"/>
  <c r="J63" i="1"/>
  <c r="J64" i="1"/>
  <c r="J65" i="1"/>
  <c r="J66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" i="1"/>
  <c r="I67" i="1"/>
  <c r="H67" i="1"/>
  <c r="I33" i="1"/>
  <c r="E67" i="1"/>
  <c r="D67" i="1"/>
  <c r="C6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37" i="1"/>
  <c r="N3" i="1" l="1"/>
  <c r="O3" i="1" s="1"/>
  <c r="N33" i="1"/>
  <c r="N71" i="1" s="1"/>
  <c r="O71" i="1" s="1"/>
  <c r="J33" i="1"/>
  <c r="J71" i="1" s="1"/>
  <c r="J37" i="1"/>
  <c r="J67" i="1" s="1"/>
  <c r="J72" i="1" s="1"/>
  <c r="H33" i="1"/>
  <c r="G33" i="1"/>
  <c r="D33" i="1"/>
  <c r="E33" i="1"/>
  <c r="C33" i="1"/>
  <c r="F7" i="1"/>
  <c r="F10" i="1"/>
  <c r="F15" i="1"/>
  <c r="F17" i="1"/>
  <c r="F18" i="1"/>
  <c r="F23" i="1"/>
  <c r="F25" i="1"/>
  <c r="F26" i="1"/>
  <c r="F31" i="1"/>
  <c r="F3" i="1"/>
  <c r="F4" i="1"/>
  <c r="F5" i="1"/>
  <c r="F6" i="1"/>
  <c r="F8" i="1"/>
  <c r="F9" i="1"/>
  <c r="F11" i="1"/>
  <c r="F12" i="1"/>
  <c r="F13" i="1"/>
  <c r="F14" i="1"/>
  <c r="F16" i="1"/>
  <c r="F19" i="1"/>
  <c r="F20" i="1"/>
  <c r="F21" i="1"/>
  <c r="F22" i="1"/>
  <c r="F24" i="1"/>
  <c r="F27" i="1"/>
  <c r="F28" i="1"/>
  <c r="F29" i="1"/>
  <c r="F30" i="1"/>
  <c r="F32" i="1"/>
  <c r="N73" i="1" l="1"/>
  <c r="J73" i="1"/>
  <c r="F67" i="1"/>
  <c r="F72" i="1" s="1"/>
  <c r="F33" i="1"/>
  <c r="F71" i="1" s="1"/>
  <c r="B78" i="1" l="1"/>
  <c r="F73" i="1"/>
  <c r="O67" i="1" l="1"/>
  <c r="O73" i="1" l="1"/>
  <c r="O33" i="1"/>
  <c r="P27" i="1" s="1"/>
  <c r="B77" i="1"/>
  <c r="P12" i="1" l="1"/>
  <c r="P19" i="1"/>
  <c r="P26" i="1"/>
  <c r="P3" i="1"/>
  <c r="P13" i="1"/>
  <c r="B79" i="1"/>
  <c r="C78" i="1" s="1"/>
  <c r="P20" i="1"/>
  <c r="P22" i="1"/>
  <c r="P28" i="1"/>
  <c r="P18" i="1"/>
  <c r="P5" i="1"/>
  <c r="P9" i="1"/>
  <c r="P15" i="1"/>
  <c r="P6" i="1"/>
  <c r="P31" i="1"/>
  <c r="P10" i="1"/>
  <c r="P23" i="1"/>
  <c r="P7" i="1"/>
  <c r="P32" i="1"/>
  <c r="P21" i="1"/>
  <c r="P25" i="1"/>
  <c r="P4" i="1"/>
  <c r="P30" i="1"/>
  <c r="P17" i="1"/>
  <c r="P14" i="1"/>
  <c r="P24" i="1"/>
  <c r="P8" i="1"/>
  <c r="P16" i="1"/>
  <c r="P11" i="1"/>
  <c r="P29" i="1"/>
  <c r="P33" i="1" l="1"/>
  <c r="C77" i="1"/>
  <c r="C79" i="1" s="1"/>
</calcChain>
</file>

<file path=xl/sharedStrings.xml><?xml version="1.0" encoding="utf-8"?>
<sst xmlns="http://schemas.openxmlformats.org/spreadsheetml/2006/main" count="179" uniqueCount="55">
  <si>
    <t>Category Level</t>
  </si>
  <si>
    <t>Category</t>
  </si>
  <si>
    <t>Division</t>
  </si>
  <si>
    <t>Grand Total</t>
  </si>
  <si>
    <t>Share %</t>
  </si>
  <si>
    <t>BALLERINAS</t>
  </si>
  <si>
    <t>Footwear</t>
  </si>
  <si>
    <t>CASUAL SHOES</t>
  </si>
  <si>
    <t>MOULDS</t>
  </si>
  <si>
    <t>FLIP FLOPS</t>
  </si>
  <si>
    <t>TOP</t>
  </si>
  <si>
    <t>Apparel</t>
  </si>
  <si>
    <t>BOOTS</t>
  </si>
  <si>
    <t>JACKET</t>
  </si>
  <si>
    <t>DRESS</t>
  </si>
  <si>
    <t>SWEATER</t>
  </si>
  <si>
    <t>SPORTS SHOES</t>
  </si>
  <si>
    <t>BERMUDA</t>
  </si>
  <si>
    <t>TROUSERS</t>
  </si>
  <si>
    <t>JEANS</t>
  </si>
  <si>
    <t>SKIRT</t>
  </si>
  <si>
    <t>T-SHIRT</t>
  </si>
  <si>
    <t>New Styles Units</t>
  </si>
  <si>
    <t>Total</t>
  </si>
  <si>
    <t>Day Level New Style Contribution</t>
  </si>
  <si>
    <t>Total Unit Sold</t>
  </si>
  <si>
    <t>New Style Units sold</t>
  </si>
  <si>
    <t>New Contr.Share (%)</t>
  </si>
  <si>
    <t>Division Level</t>
  </si>
  <si>
    <t>FOOTWEAR</t>
  </si>
  <si>
    <t>CANVAS SHOES</t>
  </si>
  <si>
    <t>FASHION SANDALS</t>
  </si>
  <si>
    <t>LYCRA SHOES</t>
  </si>
  <si>
    <t>SLIDES</t>
  </si>
  <si>
    <t>SPORTS SANDALS</t>
  </si>
  <si>
    <t>BOOTIES</t>
  </si>
  <si>
    <t>APPAREL</t>
  </si>
  <si>
    <t>DUNGAREE</t>
  </si>
  <si>
    <t>SHIRT</t>
  </si>
  <si>
    <t>SWEATSHIRT</t>
  </si>
  <si>
    <t>POLO T-SHIRT</t>
  </si>
  <si>
    <t>LOWER</t>
  </si>
  <si>
    <t>JUMPSUIT</t>
  </si>
  <si>
    <t>ROMPER</t>
  </si>
  <si>
    <t>CLOTHING SET</t>
  </si>
  <si>
    <t>SHORTS</t>
  </si>
  <si>
    <t>Amazon</t>
  </si>
  <si>
    <t>Cocoblu</t>
  </si>
  <si>
    <t>FBA</t>
  </si>
  <si>
    <t>Saturday</t>
  </si>
  <si>
    <t>Sunday</t>
  </si>
  <si>
    <t>1 August.</t>
  </si>
  <si>
    <t>2 August.</t>
  </si>
  <si>
    <t>Monday</t>
  </si>
  <si>
    <t>3 August.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</si>
</sst>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i/>
      <sz val="12"/>
      <color rgb="FF000000"/>
      <name val="Calibri"/>
      <family val="2"/>
    </font>
    <font>
      <b/>
      <i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AEEF3"/>
        <bgColor rgb="FFDAEEF3"/>
      </patternFill>
    </fill>
    <fill>
      <patternFill patternType="solid">
        <fgColor rgb="FF92D050"/>
        <bgColor rgb="FF92D050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0" xfId="0" applyFont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/>
    </xf>
    <xf numFmtId="0" fontId="5" fillId="2" borderId="2" xfId="0" applyFont="1" applyFill="1" applyBorder="1"/>
    <xf numFmtId="0" fontId="5" fillId="2" borderId="2" xfId="0" applyFont="1" applyFill="1" applyBorder="1" applyAlignment="1">
      <alignment horizontal="center"/>
    </xf>
    <xf numFmtId="0" fontId="5" fillId="5" borderId="2" xfId="0" applyFont="1" applyFill="1" applyBorder="1"/>
    <xf numFmtId="0" fontId="5" fillId="5" borderId="2" xfId="0" applyFont="1" applyFill="1" applyBorder="1" applyAlignment="1">
      <alignment horizontal="center"/>
    </xf>
    <xf numFmtId="9" fontId="5" fillId="5" borderId="2" xfId="0" applyNumberFormat="1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14" fontId="7" fillId="5" borderId="2" xfId="0" applyNumberFormat="1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9" fontId="2" fillId="3" borderId="2" xfId="0" applyNumberFormat="1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9" fontId="2" fillId="0" borderId="2" xfId="0" applyNumberFormat="1" applyFont="1" applyBorder="1" applyAlignment="1">
      <alignment horizontal="center" vertical="center"/>
    </xf>
    <xf numFmtId="0" fontId="1" fillId="2" borderId="2" xfId="0" applyFont="1" applyFill="1" applyBorder="1"/>
    <xf numFmtId="0" fontId="5" fillId="4" borderId="2" xfId="0" applyFont="1" applyFill="1" applyBorder="1"/>
    <xf numFmtId="9" fontId="5" fillId="4" borderId="2" xfId="0" applyNumberFormat="1" applyFont="1" applyFill="1" applyBorder="1" applyAlignment="1">
      <alignment horizontal="center"/>
    </xf>
    <xf numFmtId="9" fontId="5" fillId="2" borderId="2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center"/>
    </xf>
    <xf numFmtId="14" fontId="7" fillId="5" borderId="7" xfId="0" applyNumberFormat="1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2" borderId="9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5EB29-FBAF-4C86-8E0E-50117B33F9B3}">
  <sheetPr codeName="Sheet1"/>
  <dimension ref="A1:P80"/>
  <sheetViews>
    <sheetView tabSelected="1" zoomScale="78" zoomScaleNormal="78" workbookViewId="0">
      <pane xSplit="1" topLeftCell="B1" activePane="topRight" state="frozen"/>
      <selection pane="topRight" activeCell="O1" sqref="O1"/>
    </sheetView>
  </sheetViews>
  <sheetFormatPr defaultColWidth="14.42578125" defaultRowHeight="15" outlineLevelCol="1" x14ac:dyDescent="0.25"/>
  <cols>
    <col min="1" max="1" width="18.42578125" customWidth="1"/>
    <col min="2" max="2" width="12" customWidth="1"/>
    <col min="3" max="5" width="12" hidden="1" customWidth="1" outlineLevel="1"/>
    <col min="6" max="6" width="12" bestFit="1" customWidth="1" collapsed="1"/>
    <col min="7" max="9" width="12" hidden="1" customWidth="1" outlineLevel="1"/>
    <col min="10" max="10" width="12" customWidth="1" collapsed="1"/>
    <col min="11" max="13" width="12" hidden="1" customWidth="1" outlineLevel="1"/>
    <col min="14" max="14" width="12" customWidth="1" collapsed="1"/>
    <col min="15" max="15" width="14.140625" customWidth="1"/>
    <col min="16" max="16" width="12" customWidth="1"/>
  </cols>
  <sheetData>
    <row r="1" spans="1:16" ht="15.75" customHeight="1" x14ac:dyDescent="0.25">
      <c r="A1" s="37" t="s">
        <v>0</v>
      </c>
      <c r="B1" s="37"/>
      <c r="C1" s="24"/>
      <c r="D1" s="24"/>
      <c r="E1" s="24"/>
      <c r="F1" s="9" t="s">
        <v>49</v>
      </c>
      <c r="G1" s="28"/>
      <c r="H1" s="28"/>
      <c r="I1" s="28"/>
      <c r="J1" s="28" t="s">
        <v>50</v>
      </c>
      <c r="K1" s="28"/>
      <c r="L1" s="28"/>
      <c r="M1" s="28"/>
      <c r="N1" s="28" t="s">
        <v>53</v>
      </c>
    </row>
    <row r="2" spans="1:16" ht="30.75" customHeight="1" x14ac:dyDescent="0.25">
      <c r="A2" s="17" t="s">
        <v>1</v>
      </c>
      <c r="B2" s="25" t="s">
        <v>2</v>
      </c>
      <c r="C2" s="10" t="s">
        <v>46</v>
      </c>
      <c r="D2" s="10" t="s">
        <v>47</v>
      </c>
      <c r="E2" s="10" t="s">
        <v>48</v>
      </c>
      <c r="F2" s="11" t="s">
        <v>51</v>
      </c>
      <c r="G2" s="11" t="s">
        <v>46</v>
      </c>
      <c r="H2" s="11" t="s">
        <v>47</v>
      </c>
      <c r="I2" s="11" t="s">
        <v>48</v>
      </c>
      <c r="J2" s="11" t="s">
        <v>52</v>
      </c>
      <c r="K2" s="11" t="s">
        <v>46</v>
      </c>
      <c r="L2" s="11" t="s">
        <v>47</v>
      </c>
      <c r="M2" s="11" t="s">
        <v>48</v>
      </c>
      <c r="N2" s="11" t="s">
        <v>54</v>
      </c>
      <c r="O2" s="12" t="s">
        <v>3</v>
      </c>
      <c r="P2" s="2" t="s">
        <v>4</v>
      </c>
    </row>
    <row r="3" spans="1:16" x14ac:dyDescent="0.25">
      <c r="A3" s="13" t="s">
        <v>5</v>
      </c>
      <c r="B3" s="14" t="s">
        <v>29</v>
      </c>
      <c r="C3" s="14">
        <v>11</v>
      </c>
      <c r="D3" s="14">
        <v>1</v>
      </c>
      <c r="E3" s="14"/>
      <c r="F3" s="14">
        <f>SUM(C3:E3)</f>
        <v>12</v>
      </c>
      <c r="G3" s="14">
        <v>18</v>
      </c>
      <c r="H3" s="14"/>
      <c r="I3" s="14"/>
      <c r="J3" s="14">
        <f>SUM(G3:I3)</f>
        <v>18</v>
      </c>
      <c r="K3" s="14">
        <v>9</v>
      </c>
      <c r="L3" s="14"/>
      <c r="M3" s="14">
        <v>1</v>
      </c>
      <c r="N3" s="14">
        <f>SUM(K3:M3)</f>
        <v>10</v>
      </c>
      <c r="O3" s="14">
        <f>SUM(F3+J3+N3)</f>
        <v>40</v>
      </c>
      <c r="P3" s="15">
        <f t="shared" ref="P3:P32" si="0">O3/$O$33</f>
        <v>0.2857142857142857</v>
      </c>
    </row>
    <row r="4" spans="1:16" x14ac:dyDescent="0.25">
      <c r="A4" s="13" t="s">
        <v>12</v>
      </c>
      <c r="B4" s="14" t="s">
        <v>29</v>
      </c>
      <c r="C4" s="14">
        <v>0</v>
      </c>
      <c r="D4" s="14"/>
      <c r="E4" s="14"/>
      <c r="F4" s="14">
        <f t="shared" ref="F4:F32" si="1">SUM(C4:E4)</f>
        <v>0</v>
      </c>
      <c r="G4" s="14">
        <v>1</v>
      </c>
      <c r="H4" s="14"/>
      <c r="I4" s="14"/>
      <c r="J4" s="14">
        <f t="shared" ref="J4:J32" si="2">SUM(G4:I4)</f>
        <v>1</v>
      </c>
      <c r="K4" s="14">
        <v>1</v>
      </c>
      <c r="L4" s="14"/>
      <c r="M4" s="14"/>
      <c r="N4" s="14">
        <f t="shared" ref="N4:N32" si="3">SUM(K4:M4)</f>
        <v>1</v>
      </c>
      <c r="O4" s="14">
        <f t="shared" ref="O4:O32" si="4">SUM(F4+J4+N4)</f>
        <v>2</v>
      </c>
      <c r="P4" s="15">
        <f t="shared" si="0"/>
        <v>1.4285714285714285E-2</v>
      </c>
    </row>
    <row r="5" spans="1:16" x14ac:dyDescent="0.25">
      <c r="A5" s="13" t="s">
        <v>30</v>
      </c>
      <c r="B5" s="14" t="s">
        <v>29</v>
      </c>
      <c r="C5" s="14">
        <v>2</v>
      </c>
      <c r="D5" s="14"/>
      <c r="E5" s="14"/>
      <c r="F5" s="14">
        <f t="shared" si="1"/>
        <v>2</v>
      </c>
      <c r="G5" s="14">
        <v>0</v>
      </c>
      <c r="H5" s="14"/>
      <c r="I5" s="14"/>
      <c r="J5" s="14">
        <f t="shared" si="2"/>
        <v>0</v>
      </c>
      <c r="K5" s="14">
        <v>1</v>
      </c>
      <c r="L5" s="14"/>
      <c r="M5" s="14"/>
      <c r="N5" s="14">
        <f t="shared" si="3"/>
        <v>1</v>
      </c>
      <c r="O5" s="14">
        <f t="shared" si="4"/>
        <v>3</v>
      </c>
      <c r="P5" s="15">
        <f t="shared" si="0"/>
        <v>2.1428571428571429E-2</v>
      </c>
    </row>
    <row r="6" spans="1:16" x14ac:dyDescent="0.25">
      <c r="A6" s="13" t="s">
        <v>7</v>
      </c>
      <c r="B6" s="14" t="s">
        <v>29</v>
      </c>
      <c r="C6" s="14"/>
      <c r="D6" s="14"/>
      <c r="E6" s="14"/>
      <c r="F6" s="14">
        <f t="shared" si="1"/>
        <v>0</v>
      </c>
      <c r="G6" s="14"/>
      <c r="H6" s="14"/>
      <c r="I6" s="14"/>
      <c r="J6" s="14">
        <f t="shared" si="2"/>
        <v>0</v>
      </c>
      <c r="K6" s="14">
        <v>4</v>
      </c>
      <c r="L6" s="14"/>
      <c r="M6" s="14"/>
      <c r="N6" s="14">
        <f t="shared" si="3"/>
        <v>4</v>
      </c>
      <c r="O6" s="14">
        <f t="shared" si="4"/>
        <v>4</v>
      </c>
      <c r="P6" s="15">
        <f t="shared" si="0"/>
        <v>2.8571428571428571E-2</v>
      </c>
    </row>
    <row r="7" spans="1:16" x14ac:dyDescent="0.25">
      <c r="A7" s="13" t="s">
        <v>31</v>
      </c>
      <c r="B7" s="14" t="s">
        <v>29</v>
      </c>
      <c r="C7" s="14">
        <v>2</v>
      </c>
      <c r="D7" s="14"/>
      <c r="E7" s="14"/>
      <c r="F7" s="14">
        <f t="shared" si="1"/>
        <v>2</v>
      </c>
      <c r="G7" s="14">
        <v>8</v>
      </c>
      <c r="H7" s="14"/>
      <c r="I7" s="14"/>
      <c r="J7" s="14">
        <f t="shared" si="2"/>
        <v>8</v>
      </c>
      <c r="K7" s="14">
        <v>10</v>
      </c>
      <c r="L7" s="14"/>
      <c r="M7" s="14"/>
      <c r="N7" s="14">
        <f t="shared" si="3"/>
        <v>10</v>
      </c>
      <c r="O7" s="14">
        <f t="shared" si="4"/>
        <v>20</v>
      </c>
      <c r="P7" s="15">
        <f t="shared" si="0"/>
        <v>0.14285714285714285</v>
      </c>
    </row>
    <row r="8" spans="1:16" x14ac:dyDescent="0.25">
      <c r="A8" s="13" t="s">
        <v>9</v>
      </c>
      <c r="B8" s="14" t="s">
        <v>29</v>
      </c>
      <c r="C8" s="14">
        <v>0</v>
      </c>
      <c r="D8" s="14">
        <v>4</v>
      </c>
      <c r="E8" s="14"/>
      <c r="F8" s="14">
        <f t="shared" si="1"/>
        <v>4</v>
      </c>
      <c r="G8" s="14">
        <v>3</v>
      </c>
      <c r="H8" s="14">
        <v>2</v>
      </c>
      <c r="I8" s="14"/>
      <c r="J8" s="14">
        <f t="shared" si="2"/>
        <v>5</v>
      </c>
      <c r="K8" s="14">
        <v>4</v>
      </c>
      <c r="L8" s="14"/>
      <c r="M8" s="14">
        <v>1</v>
      </c>
      <c r="N8" s="14">
        <f t="shared" si="3"/>
        <v>5</v>
      </c>
      <c r="O8" s="14">
        <f t="shared" si="4"/>
        <v>14</v>
      </c>
      <c r="P8" s="15">
        <f t="shared" si="0"/>
        <v>0.1</v>
      </c>
    </row>
    <row r="9" spans="1:16" x14ac:dyDescent="0.25">
      <c r="A9" s="13" t="s">
        <v>32</v>
      </c>
      <c r="B9" s="14" t="s">
        <v>29</v>
      </c>
      <c r="C9" s="14"/>
      <c r="D9" s="14"/>
      <c r="E9" s="14"/>
      <c r="F9" s="14">
        <f t="shared" si="1"/>
        <v>0</v>
      </c>
      <c r="G9" s="14"/>
      <c r="H9" s="14"/>
      <c r="I9" s="14"/>
      <c r="J9" s="14">
        <f t="shared" si="2"/>
        <v>0</v>
      </c>
      <c r="K9" s="14"/>
      <c r="L9" s="14"/>
      <c r="M9" s="14"/>
      <c r="N9" s="14">
        <f t="shared" si="3"/>
        <v>0</v>
      </c>
      <c r="O9" s="14">
        <f t="shared" si="4"/>
        <v>0</v>
      </c>
      <c r="P9" s="15">
        <f t="shared" si="0"/>
        <v>0</v>
      </c>
    </row>
    <row r="10" spans="1:16" x14ac:dyDescent="0.25">
      <c r="A10" s="13" t="s">
        <v>8</v>
      </c>
      <c r="B10" s="14" t="s">
        <v>29</v>
      </c>
      <c r="C10" s="14">
        <v>1</v>
      </c>
      <c r="D10" s="14"/>
      <c r="E10" s="14"/>
      <c r="F10" s="14">
        <f t="shared" si="1"/>
        <v>1</v>
      </c>
      <c r="G10" s="14">
        <v>3</v>
      </c>
      <c r="H10" s="14">
        <v>1</v>
      </c>
      <c r="I10" s="14"/>
      <c r="J10" s="14">
        <f t="shared" si="2"/>
        <v>4</v>
      </c>
      <c r="K10" s="14">
        <v>4</v>
      </c>
      <c r="L10" s="14"/>
      <c r="M10" s="14"/>
      <c r="N10" s="14">
        <f t="shared" si="3"/>
        <v>4</v>
      </c>
      <c r="O10" s="14">
        <f t="shared" si="4"/>
        <v>9</v>
      </c>
      <c r="P10" s="15">
        <f t="shared" si="0"/>
        <v>6.4285714285714279E-2</v>
      </c>
    </row>
    <row r="11" spans="1:16" x14ac:dyDescent="0.25">
      <c r="A11" s="13" t="s">
        <v>33</v>
      </c>
      <c r="B11" s="14" t="s">
        <v>29</v>
      </c>
      <c r="C11" s="14"/>
      <c r="D11" s="14"/>
      <c r="E11" s="14"/>
      <c r="F11" s="14">
        <f t="shared" si="1"/>
        <v>0</v>
      </c>
      <c r="G11" s="14"/>
      <c r="H11" s="14"/>
      <c r="I11" s="14"/>
      <c r="J11" s="14">
        <f t="shared" si="2"/>
        <v>0</v>
      </c>
      <c r="K11" s="14"/>
      <c r="L11" s="14"/>
      <c r="M11" s="14"/>
      <c r="N11" s="14">
        <f t="shared" si="3"/>
        <v>0</v>
      </c>
      <c r="O11" s="14">
        <f t="shared" si="4"/>
        <v>0</v>
      </c>
      <c r="P11" s="15">
        <f t="shared" si="0"/>
        <v>0</v>
      </c>
    </row>
    <row r="12" spans="1:16" x14ac:dyDescent="0.25">
      <c r="A12" s="13" t="s">
        <v>34</v>
      </c>
      <c r="B12" s="14" t="s">
        <v>29</v>
      </c>
      <c r="C12" s="14"/>
      <c r="D12" s="14"/>
      <c r="E12" s="14"/>
      <c r="F12" s="14">
        <f t="shared" si="1"/>
        <v>0</v>
      </c>
      <c r="G12" s="14"/>
      <c r="H12" s="14"/>
      <c r="I12" s="14"/>
      <c r="J12" s="14">
        <f t="shared" si="2"/>
        <v>0</v>
      </c>
      <c r="K12" s="14"/>
      <c r="L12" s="14"/>
      <c r="M12" s="14"/>
      <c r="N12" s="14">
        <f t="shared" si="3"/>
        <v>0</v>
      </c>
      <c r="O12" s="14">
        <f t="shared" si="4"/>
        <v>0</v>
      </c>
      <c r="P12" s="15">
        <f t="shared" si="0"/>
        <v>0</v>
      </c>
    </row>
    <row r="13" spans="1:16" x14ac:dyDescent="0.25">
      <c r="A13" s="13" t="s">
        <v>16</v>
      </c>
      <c r="B13" s="14" t="s">
        <v>29</v>
      </c>
      <c r="C13" s="14">
        <v>2</v>
      </c>
      <c r="D13" s="14"/>
      <c r="E13" s="14"/>
      <c r="F13" s="14">
        <f t="shared" si="1"/>
        <v>2</v>
      </c>
      <c r="G13" s="14">
        <v>0</v>
      </c>
      <c r="H13" s="14"/>
      <c r="I13" s="14"/>
      <c r="J13" s="14">
        <f t="shared" si="2"/>
        <v>0</v>
      </c>
      <c r="K13" s="14">
        <v>1</v>
      </c>
      <c r="L13" s="14"/>
      <c r="M13" s="14"/>
      <c r="N13" s="14">
        <f t="shared" si="3"/>
        <v>1</v>
      </c>
      <c r="O13" s="14">
        <f t="shared" si="4"/>
        <v>3</v>
      </c>
      <c r="P13" s="15">
        <f t="shared" si="0"/>
        <v>2.1428571428571429E-2</v>
      </c>
    </row>
    <row r="14" spans="1:16" x14ac:dyDescent="0.25">
      <c r="A14" s="13" t="s">
        <v>35</v>
      </c>
      <c r="B14" s="14" t="s">
        <v>29</v>
      </c>
      <c r="C14" s="14">
        <v>0</v>
      </c>
      <c r="D14" s="14"/>
      <c r="E14" s="14"/>
      <c r="F14" s="14">
        <f t="shared" si="1"/>
        <v>0</v>
      </c>
      <c r="G14" s="14">
        <v>1</v>
      </c>
      <c r="H14" s="14"/>
      <c r="I14" s="14"/>
      <c r="J14" s="14">
        <f t="shared" si="2"/>
        <v>1</v>
      </c>
      <c r="K14" s="14">
        <v>1</v>
      </c>
      <c r="L14" s="14"/>
      <c r="M14" s="14"/>
      <c r="N14" s="14">
        <f t="shared" si="3"/>
        <v>1</v>
      </c>
      <c r="O14" s="14">
        <f t="shared" si="4"/>
        <v>2</v>
      </c>
      <c r="P14" s="15">
        <f t="shared" si="0"/>
        <v>1.4285714285714285E-2</v>
      </c>
    </row>
    <row r="15" spans="1:16" x14ac:dyDescent="0.25">
      <c r="A15" s="13" t="s">
        <v>14</v>
      </c>
      <c r="B15" s="14" t="s">
        <v>36</v>
      </c>
      <c r="C15" s="14"/>
      <c r="D15" s="14"/>
      <c r="E15" s="14"/>
      <c r="F15" s="14">
        <f t="shared" si="1"/>
        <v>0</v>
      </c>
      <c r="G15" s="14"/>
      <c r="H15" s="14"/>
      <c r="I15" s="14"/>
      <c r="J15" s="14">
        <f t="shared" si="2"/>
        <v>0</v>
      </c>
      <c r="K15" s="14">
        <v>2</v>
      </c>
      <c r="L15" s="14"/>
      <c r="M15" s="14"/>
      <c r="N15" s="14">
        <f t="shared" si="3"/>
        <v>2</v>
      </c>
      <c r="O15" s="14">
        <f t="shared" si="4"/>
        <v>2</v>
      </c>
      <c r="P15" s="15">
        <f t="shared" si="0"/>
        <v>1.4285714285714285E-2</v>
      </c>
    </row>
    <row r="16" spans="1:16" x14ac:dyDescent="0.25">
      <c r="A16" s="13" t="s">
        <v>37</v>
      </c>
      <c r="B16" s="14" t="s">
        <v>36</v>
      </c>
      <c r="C16" s="14"/>
      <c r="D16" s="14"/>
      <c r="E16" s="14"/>
      <c r="F16" s="14">
        <f t="shared" si="1"/>
        <v>0</v>
      </c>
      <c r="G16" s="14"/>
      <c r="H16" s="14"/>
      <c r="I16" s="14"/>
      <c r="J16" s="14">
        <f t="shared" si="2"/>
        <v>0</v>
      </c>
      <c r="K16" s="14"/>
      <c r="L16" s="14"/>
      <c r="M16" s="14"/>
      <c r="N16" s="14">
        <f t="shared" si="3"/>
        <v>0</v>
      </c>
      <c r="O16" s="14">
        <f t="shared" si="4"/>
        <v>0</v>
      </c>
      <c r="P16" s="15">
        <f t="shared" si="0"/>
        <v>0</v>
      </c>
    </row>
    <row r="17" spans="1:16" x14ac:dyDescent="0.25">
      <c r="A17" s="13" t="s">
        <v>13</v>
      </c>
      <c r="B17" s="14" t="s">
        <v>36</v>
      </c>
      <c r="C17" s="14"/>
      <c r="D17" s="14"/>
      <c r="E17" s="14"/>
      <c r="F17" s="14">
        <f t="shared" si="1"/>
        <v>0</v>
      </c>
      <c r="G17" s="14"/>
      <c r="H17" s="14"/>
      <c r="I17" s="14"/>
      <c r="J17" s="14">
        <f t="shared" si="2"/>
        <v>0</v>
      </c>
      <c r="K17" s="14"/>
      <c r="L17" s="14"/>
      <c r="M17" s="14"/>
      <c r="N17" s="14">
        <f t="shared" si="3"/>
        <v>0</v>
      </c>
      <c r="O17" s="14">
        <f t="shared" si="4"/>
        <v>0</v>
      </c>
      <c r="P17" s="15">
        <f t="shared" si="0"/>
        <v>0</v>
      </c>
    </row>
    <row r="18" spans="1:16" x14ac:dyDescent="0.25">
      <c r="A18" s="13" t="s">
        <v>38</v>
      </c>
      <c r="B18" s="14" t="s">
        <v>36</v>
      </c>
      <c r="C18" s="14"/>
      <c r="D18" s="14"/>
      <c r="E18" s="14"/>
      <c r="F18" s="14">
        <f t="shared" si="1"/>
        <v>0</v>
      </c>
      <c r="G18" s="14"/>
      <c r="H18" s="14"/>
      <c r="I18" s="14"/>
      <c r="J18" s="14">
        <f t="shared" si="2"/>
        <v>0</v>
      </c>
      <c r="K18" s="14">
        <v>1</v>
      </c>
      <c r="L18" s="14"/>
      <c r="M18" s="14"/>
      <c r="N18" s="14">
        <f t="shared" si="3"/>
        <v>1</v>
      </c>
      <c r="O18" s="14">
        <f t="shared" si="4"/>
        <v>1</v>
      </c>
      <c r="P18" s="15">
        <f t="shared" si="0"/>
        <v>7.1428571428571426E-3</v>
      </c>
    </row>
    <row r="19" spans="1:16" x14ac:dyDescent="0.25">
      <c r="A19" s="13" t="s">
        <v>20</v>
      </c>
      <c r="B19" s="14" t="s">
        <v>36</v>
      </c>
      <c r="C19" s="14"/>
      <c r="D19" s="14"/>
      <c r="E19" s="14"/>
      <c r="F19" s="14">
        <f t="shared" si="1"/>
        <v>0</v>
      </c>
      <c r="G19" s="14"/>
      <c r="H19" s="14"/>
      <c r="I19" s="14"/>
      <c r="J19" s="14">
        <f t="shared" si="2"/>
        <v>0</v>
      </c>
      <c r="K19" s="14"/>
      <c r="L19" s="14"/>
      <c r="M19" s="14"/>
      <c r="N19" s="14">
        <f t="shared" si="3"/>
        <v>0</v>
      </c>
      <c r="O19" s="14">
        <f t="shared" si="4"/>
        <v>0</v>
      </c>
      <c r="P19" s="15">
        <f t="shared" si="0"/>
        <v>0</v>
      </c>
    </row>
    <row r="20" spans="1:16" x14ac:dyDescent="0.25">
      <c r="A20" s="13" t="s">
        <v>15</v>
      </c>
      <c r="B20" s="14" t="s">
        <v>36</v>
      </c>
      <c r="C20" s="14"/>
      <c r="D20" s="14"/>
      <c r="E20" s="14"/>
      <c r="F20" s="14">
        <f t="shared" si="1"/>
        <v>0</v>
      </c>
      <c r="G20" s="14"/>
      <c r="H20" s="14"/>
      <c r="I20" s="14"/>
      <c r="J20" s="14">
        <f t="shared" si="2"/>
        <v>0</v>
      </c>
      <c r="K20" s="14"/>
      <c r="L20" s="14"/>
      <c r="M20" s="14"/>
      <c r="N20" s="14">
        <f t="shared" si="3"/>
        <v>0</v>
      </c>
      <c r="O20" s="14">
        <f t="shared" si="4"/>
        <v>0</v>
      </c>
      <c r="P20" s="15">
        <f t="shared" si="0"/>
        <v>0</v>
      </c>
    </row>
    <row r="21" spans="1:16" ht="15.75" customHeight="1" x14ac:dyDescent="0.25">
      <c r="A21" s="13" t="s">
        <v>39</v>
      </c>
      <c r="B21" s="14" t="s">
        <v>36</v>
      </c>
      <c r="C21" s="14"/>
      <c r="D21" s="14"/>
      <c r="E21" s="14"/>
      <c r="F21" s="14">
        <f t="shared" si="1"/>
        <v>0</v>
      </c>
      <c r="G21" s="14"/>
      <c r="H21" s="14"/>
      <c r="I21" s="14"/>
      <c r="J21" s="14">
        <f t="shared" si="2"/>
        <v>0</v>
      </c>
      <c r="K21" s="14"/>
      <c r="L21" s="14"/>
      <c r="M21" s="14"/>
      <c r="N21" s="14">
        <f t="shared" si="3"/>
        <v>0</v>
      </c>
      <c r="O21" s="14">
        <f t="shared" si="4"/>
        <v>0</v>
      </c>
      <c r="P21" s="15">
        <f t="shared" si="0"/>
        <v>0</v>
      </c>
    </row>
    <row r="22" spans="1:16" ht="15.75" customHeight="1" x14ac:dyDescent="0.25">
      <c r="A22" s="13" t="s">
        <v>10</v>
      </c>
      <c r="B22" s="14" t="s">
        <v>36</v>
      </c>
      <c r="C22" s="14">
        <v>0</v>
      </c>
      <c r="D22" s="14"/>
      <c r="E22" s="14"/>
      <c r="F22" s="14">
        <f t="shared" si="1"/>
        <v>0</v>
      </c>
      <c r="G22" s="14">
        <v>1</v>
      </c>
      <c r="H22" s="14"/>
      <c r="I22" s="14"/>
      <c r="J22" s="14">
        <f t="shared" si="2"/>
        <v>1</v>
      </c>
      <c r="K22" s="14"/>
      <c r="L22" s="14"/>
      <c r="M22" s="14"/>
      <c r="N22" s="14">
        <f t="shared" si="3"/>
        <v>0</v>
      </c>
      <c r="O22" s="14">
        <f t="shared" si="4"/>
        <v>1</v>
      </c>
      <c r="P22" s="15">
        <f t="shared" si="0"/>
        <v>7.1428571428571426E-3</v>
      </c>
    </row>
    <row r="23" spans="1:16" ht="15.75" customHeight="1" x14ac:dyDescent="0.25">
      <c r="A23" s="13" t="s">
        <v>18</v>
      </c>
      <c r="B23" s="14" t="s">
        <v>36</v>
      </c>
      <c r="C23" s="14"/>
      <c r="D23" s="14"/>
      <c r="E23" s="14"/>
      <c r="F23" s="14">
        <f t="shared" si="1"/>
        <v>0</v>
      </c>
      <c r="G23" s="14"/>
      <c r="H23" s="14"/>
      <c r="I23" s="14"/>
      <c r="J23" s="14">
        <f t="shared" si="2"/>
        <v>0</v>
      </c>
      <c r="K23" s="14"/>
      <c r="L23" s="14"/>
      <c r="M23" s="14"/>
      <c r="N23" s="14">
        <f t="shared" si="3"/>
        <v>0</v>
      </c>
      <c r="O23" s="14">
        <f t="shared" si="4"/>
        <v>0</v>
      </c>
      <c r="P23" s="15">
        <f t="shared" si="0"/>
        <v>0</v>
      </c>
    </row>
    <row r="24" spans="1:16" ht="15.75" customHeight="1" x14ac:dyDescent="0.25">
      <c r="A24" s="13" t="s">
        <v>40</v>
      </c>
      <c r="B24" s="14" t="s">
        <v>36</v>
      </c>
      <c r="C24" s="14"/>
      <c r="D24" s="14"/>
      <c r="E24" s="14"/>
      <c r="F24" s="14">
        <f t="shared" si="1"/>
        <v>0</v>
      </c>
      <c r="G24" s="14"/>
      <c r="H24" s="14"/>
      <c r="I24" s="14"/>
      <c r="J24" s="14">
        <f t="shared" si="2"/>
        <v>0</v>
      </c>
      <c r="K24" s="14"/>
      <c r="L24" s="14"/>
      <c r="M24" s="14"/>
      <c r="N24" s="14">
        <f t="shared" si="3"/>
        <v>0</v>
      </c>
      <c r="O24" s="14">
        <f t="shared" si="4"/>
        <v>0</v>
      </c>
      <c r="P24" s="15">
        <f t="shared" si="0"/>
        <v>0</v>
      </c>
    </row>
    <row r="25" spans="1:16" ht="15.75" customHeight="1" x14ac:dyDescent="0.25">
      <c r="A25" s="13" t="s">
        <v>21</v>
      </c>
      <c r="B25" s="14" t="s">
        <v>36</v>
      </c>
      <c r="C25" s="14">
        <v>4</v>
      </c>
      <c r="D25" s="14"/>
      <c r="E25" s="14"/>
      <c r="F25" s="14">
        <f t="shared" si="1"/>
        <v>4</v>
      </c>
      <c r="G25" s="14">
        <v>3</v>
      </c>
      <c r="H25" s="14"/>
      <c r="I25" s="14"/>
      <c r="J25" s="14">
        <f t="shared" si="2"/>
        <v>3</v>
      </c>
      <c r="K25" s="14">
        <v>5</v>
      </c>
      <c r="L25" s="14"/>
      <c r="M25" s="14"/>
      <c r="N25" s="14">
        <f t="shared" si="3"/>
        <v>5</v>
      </c>
      <c r="O25" s="14">
        <f t="shared" si="4"/>
        <v>12</v>
      </c>
      <c r="P25" s="15">
        <f t="shared" si="0"/>
        <v>8.5714285714285715E-2</v>
      </c>
    </row>
    <row r="26" spans="1:16" ht="15.75" customHeight="1" x14ac:dyDescent="0.25">
      <c r="A26" s="13" t="s">
        <v>19</v>
      </c>
      <c r="B26" s="14" t="s">
        <v>36</v>
      </c>
      <c r="C26" s="14">
        <v>5</v>
      </c>
      <c r="D26" s="14"/>
      <c r="E26" s="14"/>
      <c r="F26" s="14">
        <f t="shared" si="1"/>
        <v>5</v>
      </c>
      <c r="G26" s="14">
        <v>8</v>
      </c>
      <c r="H26" s="14"/>
      <c r="I26" s="14"/>
      <c r="J26" s="14">
        <f t="shared" si="2"/>
        <v>8</v>
      </c>
      <c r="K26" s="14">
        <v>13</v>
      </c>
      <c r="L26" s="14"/>
      <c r="M26" s="14"/>
      <c r="N26" s="14">
        <f t="shared" si="3"/>
        <v>13</v>
      </c>
      <c r="O26" s="14">
        <f t="shared" si="4"/>
        <v>26</v>
      </c>
      <c r="P26" s="15">
        <f t="shared" si="0"/>
        <v>0.18571428571428572</v>
      </c>
    </row>
    <row r="27" spans="1:16" ht="15.75" customHeight="1" x14ac:dyDescent="0.25">
      <c r="A27" s="13" t="s">
        <v>41</v>
      </c>
      <c r="B27" s="14" t="s">
        <v>36</v>
      </c>
      <c r="C27" s="14">
        <v>0</v>
      </c>
      <c r="D27" s="14"/>
      <c r="E27" s="14"/>
      <c r="F27" s="14">
        <f t="shared" si="1"/>
        <v>0</v>
      </c>
      <c r="G27" s="14">
        <v>1</v>
      </c>
      <c r="H27" s="14"/>
      <c r="I27" s="14"/>
      <c r="J27" s="14">
        <f t="shared" si="2"/>
        <v>1</v>
      </c>
      <c r="K27" s="14"/>
      <c r="L27" s="14"/>
      <c r="M27" s="14"/>
      <c r="N27" s="14">
        <f t="shared" si="3"/>
        <v>0</v>
      </c>
      <c r="O27" s="14">
        <f t="shared" si="4"/>
        <v>1</v>
      </c>
      <c r="P27" s="15">
        <f t="shared" si="0"/>
        <v>7.1428571428571426E-3</v>
      </c>
    </row>
    <row r="28" spans="1:16" ht="15.75" customHeight="1" x14ac:dyDescent="0.25">
      <c r="A28" s="13" t="s">
        <v>42</v>
      </c>
      <c r="B28" s="14" t="s">
        <v>36</v>
      </c>
      <c r="C28" s="14"/>
      <c r="D28" s="14"/>
      <c r="E28" s="14"/>
      <c r="F28" s="14">
        <f t="shared" si="1"/>
        <v>0</v>
      </c>
      <c r="G28" s="14"/>
      <c r="H28" s="14"/>
      <c r="I28" s="14"/>
      <c r="J28" s="14">
        <f t="shared" si="2"/>
        <v>0</v>
      </c>
      <c r="K28" s="14"/>
      <c r="L28" s="14"/>
      <c r="M28" s="14"/>
      <c r="N28" s="14">
        <f t="shared" si="3"/>
        <v>0</v>
      </c>
      <c r="O28" s="14">
        <f t="shared" si="4"/>
        <v>0</v>
      </c>
      <c r="P28" s="15">
        <f t="shared" si="0"/>
        <v>0</v>
      </c>
    </row>
    <row r="29" spans="1:16" ht="15.75" customHeight="1" x14ac:dyDescent="0.25">
      <c r="A29" s="13" t="s">
        <v>17</v>
      </c>
      <c r="B29" s="14" t="s">
        <v>36</v>
      </c>
      <c r="C29" s="14"/>
      <c r="D29" s="14"/>
      <c r="E29" s="14"/>
      <c r="F29" s="14">
        <f t="shared" si="1"/>
        <v>0</v>
      </c>
      <c r="G29" s="14"/>
      <c r="H29" s="14"/>
      <c r="I29" s="14"/>
      <c r="J29" s="14">
        <f t="shared" si="2"/>
        <v>0</v>
      </c>
      <c r="K29" s="14"/>
      <c r="L29" s="14"/>
      <c r="M29" s="14"/>
      <c r="N29" s="14">
        <f t="shared" si="3"/>
        <v>0</v>
      </c>
      <c r="O29" s="14">
        <f t="shared" si="4"/>
        <v>0</v>
      </c>
      <c r="P29" s="15">
        <f t="shared" si="0"/>
        <v>0</v>
      </c>
    </row>
    <row r="30" spans="1:16" ht="15.75" customHeight="1" x14ac:dyDescent="0.25">
      <c r="A30" s="13" t="s">
        <v>43</v>
      </c>
      <c r="B30" s="14" t="s">
        <v>36</v>
      </c>
      <c r="C30" s="14"/>
      <c r="D30" s="14"/>
      <c r="E30" s="14"/>
      <c r="F30" s="14">
        <f t="shared" si="1"/>
        <v>0</v>
      </c>
      <c r="G30" s="14"/>
      <c r="H30" s="14"/>
      <c r="I30" s="14"/>
      <c r="J30" s="14">
        <f t="shared" si="2"/>
        <v>0</v>
      </c>
      <c r="K30" s="14"/>
      <c r="L30" s="14"/>
      <c r="M30" s="14"/>
      <c r="N30" s="14">
        <f t="shared" si="3"/>
        <v>0</v>
      </c>
      <c r="O30" s="14">
        <f t="shared" si="4"/>
        <v>0</v>
      </c>
      <c r="P30" s="15">
        <f t="shared" si="0"/>
        <v>0</v>
      </c>
    </row>
    <row r="31" spans="1:16" ht="15.75" customHeight="1" x14ac:dyDescent="0.25">
      <c r="A31" s="13" t="s">
        <v>44</v>
      </c>
      <c r="B31" s="14" t="s">
        <v>36</v>
      </c>
      <c r="C31" s="14"/>
      <c r="D31" s="14"/>
      <c r="E31" s="14"/>
      <c r="F31" s="14">
        <f t="shared" si="1"/>
        <v>0</v>
      </c>
      <c r="G31" s="14"/>
      <c r="H31" s="14"/>
      <c r="I31" s="14"/>
      <c r="J31" s="14">
        <f t="shared" si="2"/>
        <v>0</v>
      </c>
      <c r="K31" s="14"/>
      <c r="L31" s="14"/>
      <c r="M31" s="14"/>
      <c r="N31" s="14">
        <f t="shared" si="3"/>
        <v>0</v>
      </c>
      <c r="O31" s="14">
        <f t="shared" si="4"/>
        <v>0</v>
      </c>
      <c r="P31" s="15">
        <f t="shared" si="0"/>
        <v>0</v>
      </c>
    </row>
    <row r="32" spans="1:16" ht="15.75" customHeight="1" x14ac:dyDescent="0.25">
      <c r="A32" s="13" t="s">
        <v>45</v>
      </c>
      <c r="B32" s="14" t="s">
        <v>36</v>
      </c>
      <c r="C32" s="14"/>
      <c r="D32" s="14"/>
      <c r="E32" s="14"/>
      <c r="F32" s="14">
        <f t="shared" si="1"/>
        <v>0</v>
      </c>
      <c r="G32" s="14"/>
      <c r="H32" s="14"/>
      <c r="I32" s="14"/>
      <c r="J32" s="14">
        <f t="shared" si="2"/>
        <v>0</v>
      </c>
      <c r="K32" s="14"/>
      <c r="L32" s="14"/>
      <c r="M32" s="14"/>
      <c r="N32" s="14">
        <f t="shared" si="3"/>
        <v>0</v>
      </c>
      <c r="O32" s="14">
        <f t="shared" si="4"/>
        <v>0</v>
      </c>
      <c r="P32" s="15">
        <f t="shared" si="0"/>
        <v>0</v>
      </c>
    </row>
    <row r="33" spans="1:16" ht="15.75" customHeight="1" x14ac:dyDescent="0.25">
      <c r="A33" s="2" t="s">
        <v>3</v>
      </c>
      <c r="B33" s="2"/>
      <c r="C33" s="2">
        <f>SUM(C3:C32)</f>
        <v>27</v>
      </c>
      <c r="D33" s="2">
        <f t="shared" ref="D33:E33" si="5">SUM(D3:D32)</f>
        <v>5</v>
      </c>
      <c r="E33" s="2">
        <f t="shared" si="5"/>
        <v>0</v>
      </c>
      <c r="F33" s="2">
        <f t="shared" ref="F33:P33" si="6">SUM(F3:F32)</f>
        <v>32</v>
      </c>
      <c r="G33" s="2">
        <f>SUM(G3:G32)</f>
        <v>47</v>
      </c>
      <c r="H33" s="2">
        <f t="shared" ref="H33:M33" si="7">SUM(H3:H32)</f>
        <v>3</v>
      </c>
      <c r="I33" s="2">
        <f t="shared" si="7"/>
        <v>0</v>
      </c>
      <c r="J33" s="2">
        <f t="shared" si="7"/>
        <v>50</v>
      </c>
      <c r="K33" s="2">
        <f>SUM(K3:K32)</f>
        <v>56</v>
      </c>
      <c r="L33" s="2">
        <f t="shared" si="7"/>
        <v>0</v>
      </c>
      <c r="M33" s="2">
        <f t="shared" si="7"/>
        <v>2</v>
      </c>
      <c r="N33" s="2">
        <f t="shared" ref="N33" si="8">SUM(N3:N32)</f>
        <v>58</v>
      </c>
      <c r="O33" s="2">
        <f t="shared" si="6"/>
        <v>140</v>
      </c>
      <c r="P33" s="16">
        <f t="shared" si="6"/>
        <v>0.99999999999999989</v>
      </c>
    </row>
    <row r="34" spans="1:1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5.75" customHeight="1" x14ac:dyDescent="0.25">
      <c r="A35" s="37" t="s">
        <v>22</v>
      </c>
      <c r="B35" s="37"/>
      <c r="C35" s="24"/>
      <c r="D35" s="24"/>
      <c r="E35" s="24"/>
      <c r="F35" s="9" t="s">
        <v>49</v>
      </c>
      <c r="G35" s="28"/>
      <c r="H35" s="28"/>
      <c r="I35" s="28"/>
      <c r="J35" s="31" t="s">
        <v>50</v>
      </c>
      <c r="K35" s="31"/>
      <c r="L35" s="31"/>
      <c r="M35" s="31"/>
      <c r="N35" s="31" t="s">
        <v>53</v>
      </c>
      <c r="O35" s="29"/>
    </row>
    <row r="36" spans="1:16" ht="15.75" customHeight="1" x14ac:dyDescent="0.25">
      <c r="A36" s="17" t="s">
        <v>1</v>
      </c>
      <c r="B36" s="25" t="s">
        <v>2</v>
      </c>
      <c r="C36" s="10" t="s">
        <v>46</v>
      </c>
      <c r="D36" s="10" t="s">
        <v>47</v>
      </c>
      <c r="E36" s="10" t="s">
        <v>48</v>
      </c>
      <c r="F36" s="11" t="s">
        <v>51</v>
      </c>
      <c r="G36" s="11" t="s">
        <v>46</v>
      </c>
      <c r="H36" s="11" t="s">
        <v>47</v>
      </c>
      <c r="I36" s="11" t="s">
        <v>48</v>
      </c>
      <c r="J36" s="30" t="s">
        <v>52</v>
      </c>
      <c r="K36" s="30" t="s">
        <v>46</v>
      </c>
      <c r="L36" s="30" t="s">
        <v>47</v>
      </c>
      <c r="M36" s="30" t="s">
        <v>48</v>
      </c>
      <c r="N36" s="30" t="s">
        <v>54</v>
      </c>
      <c r="O36" s="12" t="s">
        <v>3</v>
      </c>
    </row>
    <row r="37" spans="1:16" ht="15.75" customHeight="1" x14ac:dyDescent="0.25">
      <c r="A37" s="14" t="s">
        <v>5</v>
      </c>
      <c r="B37" s="14" t="s">
        <v>29</v>
      </c>
      <c r="C37" s="14">
        <v>1</v>
      </c>
      <c r="D37" s="14"/>
      <c r="E37" s="14"/>
      <c r="F37" s="14">
        <f>SUM(C37:E37)</f>
        <v>1</v>
      </c>
      <c r="G37" s="14">
        <v>1</v>
      </c>
      <c r="H37" s="14"/>
      <c r="I37" s="14"/>
      <c r="J37" s="14">
        <f>SUM(G37:I37)</f>
        <v>1</v>
      </c>
      <c r="K37" s="14"/>
      <c r="L37" s="14"/>
      <c r="M37" s="14"/>
      <c r="N37" s="14">
        <f>SUM(K37:M37)</f>
        <v>0</v>
      </c>
      <c r="O37" s="14">
        <f>SUM(F37+J37+N37)</f>
        <v>2</v>
      </c>
    </row>
    <row r="38" spans="1:16" ht="15.75" customHeight="1" x14ac:dyDescent="0.25">
      <c r="A38" s="14" t="s">
        <v>12</v>
      </c>
      <c r="B38" s="14" t="s">
        <v>29</v>
      </c>
      <c r="C38" s="14"/>
      <c r="D38" s="14"/>
      <c r="E38" s="14"/>
      <c r="F38" s="14">
        <f t="shared" ref="F38:F66" si="9">SUM(C38:E38)</f>
        <v>0</v>
      </c>
      <c r="G38" s="14"/>
      <c r="H38" s="14"/>
      <c r="I38" s="14"/>
      <c r="J38" s="14">
        <f t="shared" ref="J38:J66" si="10">SUM(G38:I38)</f>
        <v>0</v>
      </c>
      <c r="K38" s="14"/>
      <c r="L38" s="14"/>
      <c r="M38" s="14"/>
      <c r="N38" s="14">
        <f t="shared" ref="N38:N66" si="11">SUM(K38:M38)</f>
        <v>0</v>
      </c>
      <c r="O38" s="14">
        <f t="shared" ref="O38:O66" si="12">SUM(F38+J38+N38)</f>
        <v>0</v>
      </c>
    </row>
    <row r="39" spans="1:16" ht="15.75" customHeight="1" x14ac:dyDescent="0.25">
      <c r="A39" s="14" t="s">
        <v>30</v>
      </c>
      <c r="B39" s="14" t="s">
        <v>29</v>
      </c>
      <c r="C39" s="14"/>
      <c r="D39" s="14"/>
      <c r="E39" s="14"/>
      <c r="F39" s="14">
        <f t="shared" si="9"/>
        <v>0</v>
      </c>
      <c r="G39" s="14"/>
      <c r="H39" s="14"/>
      <c r="I39" s="14"/>
      <c r="J39" s="14">
        <f t="shared" si="10"/>
        <v>0</v>
      </c>
      <c r="K39" s="14"/>
      <c r="L39" s="14"/>
      <c r="M39" s="14"/>
      <c r="N39" s="14">
        <f t="shared" si="11"/>
        <v>0</v>
      </c>
      <c r="O39" s="14">
        <f t="shared" si="12"/>
        <v>0</v>
      </c>
    </row>
    <row r="40" spans="1:16" ht="15.75" customHeight="1" x14ac:dyDescent="0.25">
      <c r="A40" s="14" t="s">
        <v>7</v>
      </c>
      <c r="B40" s="14" t="s">
        <v>29</v>
      </c>
      <c r="C40" s="14"/>
      <c r="D40" s="14"/>
      <c r="E40" s="14"/>
      <c r="F40" s="14">
        <f t="shared" si="9"/>
        <v>0</v>
      </c>
      <c r="G40" s="14"/>
      <c r="H40" s="14"/>
      <c r="I40" s="14"/>
      <c r="J40" s="14">
        <f t="shared" si="10"/>
        <v>0</v>
      </c>
      <c r="K40" s="14"/>
      <c r="L40" s="14"/>
      <c r="M40" s="14"/>
      <c r="N40" s="14">
        <f t="shared" si="11"/>
        <v>0</v>
      </c>
      <c r="O40" s="14">
        <f t="shared" si="12"/>
        <v>0</v>
      </c>
    </row>
    <row r="41" spans="1:16" ht="15.75" customHeight="1" x14ac:dyDescent="0.25">
      <c r="A41" s="14" t="s">
        <v>31</v>
      </c>
      <c r="B41" s="14" t="s">
        <v>29</v>
      </c>
      <c r="C41" s="14">
        <v>1</v>
      </c>
      <c r="D41" s="14"/>
      <c r="E41" s="14"/>
      <c r="F41" s="14">
        <f t="shared" si="9"/>
        <v>1</v>
      </c>
      <c r="G41" s="14">
        <v>2</v>
      </c>
      <c r="H41" s="14"/>
      <c r="I41" s="14"/>
      <c r="J41" s="14">
        <f t="shared" si="10"/>
        <v>2</v>
      </c>
      <c r="K41" s="14"/>
      <c r="L41" s="14"/>
      <c r="M41" s="14"/>
      <c r="N41" s="14">
        <f t="shared" si="11"/>
        <v>0</v>
      </c>
      <c r="O41" s="14">
        <f t="shared" si="12"/>
        <v>3</v>
      </c>
    </row>
    <row r="42" spans="1:16" ht="15.75" customHeight="1" x14ac:dyDescent="0.25">
      <c r="A42" s="14" t="s">
        <v>9</v>
      </c>
      <c r="B42" s="14" t="s">
        <v>29</v>
      </c>
      <c r="C42" s="14">
        <v>0</v>
      </c>
      <c r="D42" s="14"/>
      <c r="E42" s="14"/>
      <c r="F42" s="14">
        <f t="shared" si="9"/>
        <v>0</v>
      </c>
      <c r="G42" s="14">
        <v>0</v>
      </c>
      <c r="H42" s="14"/>
      <c r="I42" s="14"/>
      <c r="J42" s="14">
        <f t="shared" si="10"/>
        <v>0</v>
      </c>
      <c r="K42" s="14"/>
      <c r="L42" s="14"/>
      <c r="M42" s="14"/>
      <c r="N42" s="14">
        <f t="shared" si="11"/>
        <v>0</v>
      </c>
      <c r="O42" s="14">
        <f t="shared" si="12"/>
        <v>0</v>
      </c>
    </row>
    <row r="43" spans="1:16" ht="15.75" customHeight="1" x14ac:dyDescent="0.25">
      <c r="A43" s="14" t="s">
        <v>32</v>
      </c>
      <c r="B43" s="14" t="s">
        <v>29</v>
      </c>
      <c r="C43" s="14"/>
      <c r="D43" s="14"/>
      <c r="E43" s="14"/>
      <c r="F43" s="14">
        <f t="shared" si="9"/>
        <v>0</v>
      </c>
      <c r="G43" s="14"/>
      <c r="H43" s="14"/>
      <c r="I43" s="14"/>
      <c r="J43" s="14">
        <f t="shared" si="10"/>
        <v>0</v>
      </c>
      <c r="K43" s="14"/>
      <c r="L43" s="14"/>
      <c r="M43" s="14"/>
      <c r="N43" s="14">
        <f t="shared" si="11"/>
        <v>0</v>
      </c>
      <c r="O43" s="14">
        <f t="shared" si="12"/>
        <v>0</v>
      </c>
    </row>
    <row r="44" spans="1:16" ht="15.75" customHeight="1" x14ac:dyDescent="0.25">
      <c r="A44" s="14" t="s">
        <v>8</v>
      </c>
      <c r="B44" s="14" t="s">
        <v>29</v>
      </c>
      <c r="C44" s="14"/>
      <c r="D44" s="14"/>
      <c r="E44" s="14"/>
      <c r="F44" s="14">
        <f t="shared" si="9"/>
        <v>0</v>
      </c>
      <c r="G44" s="14"/>
      <c r="H44" s="14"/>
      <c r="I44" s="14"/>
      <c r="J44" s="14">
        <f t="shared" si="10"/>
        <v>0</v>
      </c>
      <c r="K44" s="14"/>
      <c r="L44" s="14"/>
      <c r="M44" s="14"/>
      <c r="N44" s="14">
        <f t="shared" si="11"/>
        <v>0</v>
      </c>
      <c r="O44" s="14">
        <f t="shared" si="12"/>
        <v>0</v>
      </c>
    </row>
    <row r="45" spans="1:16" ht="15.75" customHeight="1" x14ac:dyDescent="0.25">
      <c r="A45" s="14" t="s">
        <v>33</v>
      </c>
      <c r="B45" s="14" t="s">
        <v>29</v>
      </c>
      <c r="C45" s="14"/>
      <c r="D45" s="14"/>
      <c r="E45" s="14"/>
      <c r="F45" s="14">
        <f t="shared" si="9"/>
        <v>0</v>
      </c>
      <c r="G45" s="14"/>
      <c r="H45" s="14"/>
      <c r="I45" s="14"/>
      <c r="J45" s="14">
        <f t="shared" si="10"/>
        <v>0</v>
      </c>
      <c r="K45" s="14"/>
      <c r="L45" s="14"/>
      <c r="M45" s="14"/>
      <c r="N45" s="14">
        <f t="shared" si="11"/>
        <v>0</v>
      </c>
      <c r="O45" s="14">
        <f t="shared" si="12"/>
        <v>0</v>
      </c>
    </row>
    <row r="46" spans="1:16" ht="15.75" customHeight="1" x14ac:dyDescent="0.25">
      <c r="A46" s="14" t="s">
        <v>34</v>
      </c>
      <c r="B46" s="14" t="s">
        <v>29</v>
      </c>
      <c r="C46" s="14"/>
      <c r="D46" s="14"/>
      <c r="E46" s="14"/>
      <c r="F46" s="14">
        <f t="shared" si="9"/>
        <v>0</v>
      </c>
      <c r="G46" s="14"/>
      <c r="H46" s="14"/>
      <c r="I46" s="14"/>
      <c r="J46" s="14">
        <f t="shared" si="10"/>
        <v>0</v>
      </c>
      <c r="K46" s="14"/>
      <c r="L46" s="14"/>
      <c r="M46" s="14"/>
      <c r="N46" s="14">
        <f t="shared" si="11"/>
        <v>0</v>
      </c>
      <c r="O46" s="14">
        <f t="shared" si="12"/>
        <v>0</v>
      </c>
    </row>
    <row r="47" spans="1:16" ht="15.75" customHeight="1" x14ac:dyDescent="0.25">
      <c r="A47" s="14" t="s">
        <v>16</v>
      </c>
      <c r="B47" s="14" t="s">
        <v>29</v>
      </c>
      <c r="C47" s="14">
        <v>2</v>
      </c>
      <c r="D47" s="14"/>
      <c r="E47" s="14"/>
      <c r="F47" s="14">
        <f t="shared" si="9"/>
        <v>2</v>
      </c>
      <c r="G47" s="14">
        <v>0</v>
      </c>
      <c r="H47" s="14"/>
      <c r="I47" s="14"/>
      <c r="J47" s="14">
        <f t="shared" si="10"/>
        <v>0</v>
      </c>
      <c r="K47" s="14"/>
      <c r="L47" s="14"/>
      <c r="M47" s="14"/>
      <c r="N47" s="14">
        <f t="shared" si="11"/>
        <v>0</v>
      </c>
      <c r="O47" s="14">
        <f t="shared" si="12"/>
        <v>2</v>
      </c>
    </row>
    <row r="48" spans="1:16" ht="15.75" customHeight="1" x14ac:dyDescent="0.25">
      <c r="A48" s="14" t="s">
        <v>35</v>
      </c>
      <c r="B48" s="14" t="s">
        <v>29</v>
      </c>
      <c r="C48" s="14"/>
      <c r="D48" s="14"/>
      <c r="E48" s="14"/>
      <c r="F48" s="14">
        <f t="shared" si="9"/>
        <v>0</v>
      </c>
      <c r="G48" s="14"/>
      <c r="H48" s="14"/>
      <c r="I48" s="14"/>
      <c r="J48" s="14">
        <f t="shared" si="10"/>
        <v>0</v>
      </c>
      <c r="K48" s="14"/>
      <c r="L48" s="14"/>
      <c r="M48" s="14"/>
      <c r="N48" s="14">
        <f t="shared" si="11"/>
        <v>0</v>
      </c>
      <c r="O48" s="14">
        <f t="shared" si="12"/>
        <v>0</v>
      </c>
    </row>
    <row r="49" spans="1:15" ht="15.75" customHeight="1" x14ac:dyDescent="0.25">
      <c r="A49" s="14" t="s">
        <v>14</v>
      </c>
      <c r="B49" s="14" t="s">
        <v>36</v>
      </c>
      <c r="C49" s="14"/>
      <c r="D49" s="14"/>
      <c r="E49" s="14"/>
      <c r="F49" s="14">
        <f t="shared" si="9"/>
        <v>0</v>
      </c>
      <c r="G49" s="14"/>
      <c r="H49" s="14"/>
      <c r="I49" s="14"/>
      <c r="J49" s="14">
        <f t="shared" si="10"/>
        <v>0</v>
      </c>
      <c r="K49" s="14"/>
      <c r="L49" s="14"/>
      <c r="M49" s="14"/>
      <c r="N49" s="14">
        <f t="shared" si="11"/>
        <v>0</v>
      </c>
      <c r="O49" s="14">
        <f t="shared" si="12"/>
        <v>0</v>
      </c>
    </row>
    <row r="50" spans="1:15" ht="15.75" customHeight="1" x14ac:dyDescent="0.25">
      <c r="A50" s="14" t="s">
        <v>37</v>
      </c>
      <c r="B50" s="14" t="s">
        <v>36</v>
      </c>
      <c r="C50" s="14"/>
      <c r="D50" s="14"/>
      <c r="E50" s="14"/>
      <c r="F50" s="14">
        <f t="shared" si="9"/>
        <v>0</v>
      </c>
      <c r="G50" s="14"/>
      <c r="H50" s="14"/>
      <c r="I50" s="14"/>
      <c r="J50" s="14">
        <f t="shared" si="10"/>
        <v>0</v>
      </c>
      <c r="K50" s="14"/>
      <c r="L50" s="14"/>
      <c r="M50" s="14"/>
      <c r="N50" s="14">
        <f t="shared" si="11"/>
        <v>0</v>
      </c>
      <c r="O50" s="14">
        <f t="shared" si="12"/>
        <v>0</v>
      </c>
    </row>
    <row r="51" spans="1:15" ht="15.75" customHeight="1" x14ac:dyDescent="0.25">
      <c r="A51" s="14" t="s">
        <v>13</v>
      </c>
      <c r="B51" s="14" t="s">
        <v>36</v>
      </c>
      <c r="C51" s="14"/>
      <c r="D51" s="14"/>
      <c r="E51" s="14"/>
      <c r="F51" s="14">
        <f t="shared" si="9"/>
        <v>0</v>
      </c>
      <c r="G51" s="14"/>
      <c r="H51" s="14"/>
      <c r="I51" s="14"/>
      <c r="J51" s="14">
        <f t="shared" si="10"/>
        <v>0</v>
      </c>
      <c r="K51" s="14"/>
      <c r="L51" s="14"/>
      <c r="M51" s="14"/>
      <c r="N51" s="14">
        <f t="shared" si="11"/>
        <v>0</v>
      </c>
      <c r="O51" s="14">
        <f t="shared" si="12"/>
        <v>0</v>
      </c>
    </row>
    <row r="52" spans="1:15" ht="15.75" customHeight="1" x14ac:dyDescent="0.25">
      <c r="A52" s="14" t="s">
        <v>38</v>
      </c>
      <c r="B52" s="14" t="s">
        <v>36</v>
      </c>
      <c r="C52" s="14"/>
      <c r="D52" s="14"/>
      <c r="E52" s="14"/>
      <c r="F52" s="14">
        <f t="shared" si="9"/>
        <v>0</v>
      </c>
      <c r="G52" s="14"/>
      <c r="H52" s="14"/>
      <c r="I52" s="14"/>
      <c r="J52" s="14">
        <f t="shared" si="10"/>
        <v>0</v>
      </c>
      <c r="K52" s="14"/>
      <c r="L52" s="14"/>
      <c r="M52" s="14"/>
      <c r="N52" s="14">
        <f t="shared" si="11"/>
        <v>0</v>
      </c>
      <c r="O52" s="14">
        <f t="shared" si="12"/>
        <v>0</v>
      </c>
    </row>
    <row r="53" spans="1:15" ht="15.75" customHeight="1" x14ac:dyDescent="0.25">
      <c r="A53" s="14" t="s">
        <v>20</v>
      </c>
      <c r="B53" s="14" t="s">
        <v>36</v>
      </c>
      <c r="C53" s="14"/>
      <c r="D53" s="14"/>
      <c r="E53" s="14"/>
      <c r="F53" s="14">
        <f t="shared" si="9"/>
        <v>0</v>
      </c>
      <c r="G53" s="14"/>
      <c r="H53" s="14"/>
      <c r="I53" s="14"/>
      <c r="J53" s="14">
        <f t="shared" si="10"/>
        <v>0</v>
      </c>
      <c r="K53" s="14"/>
      <c r="L53" s="14"/>
      <c r="M53" s="14"/>
      <c r="N53" s="14">
        <f t="shared" si="11"/>
        <v>0</v>
      </c>
      <c r="O53" s="14">
        <f t="shared" si="12"/>
        <v>0</v>
      </c>
    </row>
    <row r="54" spans="1:15" ht="15.75" customHeight="1" x14ac:dyDescent="0.25">
      <c r="A54" s="14" t="s">
        <v>15</v>
      </c>
      <c r="B54" s="14" t="s">
        <v>36</v>
      </c>
      <c r="C54" s="14"/>
      <c r="D54" s="14"/>
      <c r="E54" s="14"/>
      <c r="F54" s="14">
        <f t="shared" si="9"/>
        <v>0</v>
      </c>
      <c r="G54" s="14"/>
      <c r="H54" s="14"/>
      <c r="I54" s="14"/>
      <c r="J54" s="14">
        <f t="shared" si="10"/>
        <v>0</v>
      </c>
      <c r="K54" s="14"/>
      <c r="L54" s="14"/>
      <c r="M54" s="14"/>
      <c r="N54" s="14">
        <f t="shared" si="11"/>
        <v>0</v>
      </c>
      <c r="O54" s="14">
        <f t="shared" si="12"/>
        <v>0</v>
      </c>
    </row>
    <row r="55" spans="1:15" ht="15.75" customHeight="1" x14ac:dyDescent="0.25">
      <c r="A55" s="14" t="s">
        <v>39</v>
      </c>
      <c r="B55" s="14" t="s">
        <v>36</v>
      </c>
      <c r="C55" s="14"/>
      <c r="D55" s="14"/>
      <c r="E55" s="14"/>
      <c r="F55" s="14">
        <f t="shared" si="9"/>
        <v>0</v>
      </c>
      <c r="G55" s="14"/>
      <c r="H55" s="14"/>
      <c r="I55" s="14"/>
      <c r="J55" s="14">
        <f t="shared" si="10"/>
        <v>0</v>
      </c>
      <c r="K55" s="14"/>
      <c r="L55" s="14"/>
      <c r="M55" s="14"/>
      <c r="N55" s="14">
        <f t="shared" si="11"/>
        <v>0</v>
      </c>
      <c r="O55" s="14">
        <f t="shared" si="12"/>
        <v>0</v>
      </c>
    </row>
    <row r="56" spans="1:15" ht="15.75" customHeight="1" x14ac:dyDescent="0.25">
      <c r="A56" s="14" t="s">
        <v>10</v>
      </c>
      <c r="B56" s="14" t="s">
        <v>36</v>
      </c>
      <c r="C56" s="14">
        <v>0</v>
      </c>
      <c r="D56" s="14"/>
      <c r="E56" s="14"/>
      <c r="F56" s="14">
        <f t="shared" si="9"/>
        <v>0</v>
      </c>
      <c r="G56" s="14">
        <v>1</v>
      </c>
      <c r="H56" s="14"/>
      <c r="I56" s="14"/>
      <c r="J56" s="14">
        <f t="shared" si="10"/>
        <v>1</v>
      </c>
      <c r="K56" s="14"/>
      <c r="L56" s="14"/>
      <c r="M56" s="14"/>
      <c r="N56" s="14">
        <f t="shared" si="11"/>
        <v>0</v>
      </c>
      <c r="O56" s="14">
        <f t="shared" si="12"/>
        <v>1</v>
      </c>
    </row>
    <row r="57" spans="1:15" ht="15.75" customHeight="1" x14ac:dyDescent="0.25">
      <c r="A57" s="14" t="s">
        <v>18</v>
      </c>
      <c r="B57" s="14" t="s">
        <v>36</v>
      </c>
      <c r="C57" s="14"/>
      <c r="D57" s="14"/>
      <c r="E57" s="14"/>
      <c r="F57" s="14">
        <f t="shared" si="9"/>
        <v>0</v>
      </c>
      <c r="G57" s="14"/>
      <c r="H57" s="14"/>
      <c r="I57" s="14"/>
      <c r="J57" s="14">
        <f t="shared" si="10"/>
        <v>0</v>
      </c>
      <c r="K57" s="14"/>
      <c r="L57" s="14"/>
      <c r="M57" s="14"/>
      <c r="N57" s="14">
        <f t="shared" si="11"/>
        <v>0</v>
      </c>
      <c r="O57" s="14">
        <f t="shared" si="12"/>
        <v>0</v>
      </c>
    </row>
    <row r="58" spans="1:15" ht="15.75" customHeight="1" x14ac:dyDescent="0.25">
      <c r="A58" s="14" t="s">
        <v>40</v>
      </c>
      <c r="B58" s="14" t="s">
        <v>36</v>
      </c>
      <c r="C58" s="14"/>
      <c r="D58" s="14"/>
      <c r="E58" s="14"/>
      <c r="F58" s="14">
        <f t="shared" si="9"/>
        <v>0</v>
      </c>
      <c r="G58" s="14"/>
      <c r="H58" s="14"/>
      <c r="I58" s="14"/>
      <c r="J58" s="14">
        <f t="shared" si="10"/>
        <v>0</v>
      </c>
      <c r="K58" s="14"/>
      <c r="L58" s="14"/>
      <c r="M58" s="14"/>
      <c r="N58" s="14">
        <f t="shared" si="11"/>
        <v>0</v>
      </c>
      <c r="O58" s="14">
        <f t="shared" si="12"/>
        <v>0</v>
      </c>
    </row>
    <row r="59" spans="1:15" ht="15.75" customHeight="1" x14ac:dyDescent="0.25">
      <c r="A59" s="14" t="s">
        <v>21</v>
      </c>
      <c r="B59" s="14" t="s">
        <v>36</v>
      </c>
      <c r="C59" s="14">
        <v>1</v>
      </c>
      <c r="D59" s="14"/>
      <c r="E59" s="14"/>
      <c r="F59" s="14">
        <f t="shared" si="9"/>
        <v>1</v>
      </c>
      <c r="G59" s="14">
        <v>2</v>
      </c>
      <c r="H59" s="14"/>
      <c r="I59" s="14"/>
      <c r="J59" s="14">
        <f t="shared" si="10"/>
        <v>2</v>
      </c>
      <c r="K59" s="14"/>
      <c r="L59" s="14"/>
      <c r="M59" s="14"/>
      <c r="N59" s="14">
        <f t="shared" si="11"/>
        <v>0</v>
      </c>
      <c r="O59" s="14">
        <f t="shared" si="12"/>
        <v>3</v>
      </c>
    </row>
    <row r="60" spans="1:15" ht="15.75" customHeight="1" x14ac:dyDescent="0.25">
      <c r="A60" s="14" t="s">
        <v>19</v>
      </c>
      <c r="B60" s="14" t="s">
        <v>36</v>
      </c>
      <c r="C60" s="14">
        <v>3</v>
      </c>
      <c r="D60" s="14"/>
      <c r="E60" s="14"/>
      <c r="F60" s="14">
        <f t="shared" si="9"/>
        <v>3</v>
      </c>
      <c r="G60" s="14">
        <v>3</v>
      </c>
      <c r="H60" s="14"/>
      <c r="I60" s="14"/>
      <c r="J60" s="14">
        <f t="shared" si="10"/>
        <v>3</v>
      </c>
      <c r="K60" s="14"/>
      <c r="L60" s="14"/>
      <c r="M60" s="14"/>
      <c r="N60" s="14">
        <f t="shared" si="11"/>
        <v>0</v>
      </c>
      <c r="O60" s="14">
        <f t="shared" si="12"/>
        <v>6</v>
      </c>
    </row>
    <row r="61" spans="1:15" ht="15.75" customHeight="1" x14ac:dyDescent="0.25">
      <c r="A61" s="14" t="s">
        <v>41</v>
      </c>
      <c r="B61" s="14" t="s">
        <v>36</v>
      </c>
      <c r="C61" s="14">
        <v>0</v>
      </c>
      <c r="D61" s="14"/>
      <c r="E61" s="14"/>
      <c r="F61" s="14">
        <f t="shared" si="9"/>
        <v>0</v>
      </c>
      <c r="G61" s="14">
        <v>1</v>
      </c>
      <c r="H61" s="14"/>
      <c r="I61" s="14"/>
      <c r="J61" s="14">
        <f t="shared" si="10"/>
        <v>1</v>
      </c>
      <c r="K61" s="14"/>
      <c r="L61" s="14"/>
      <c r="M61" s="14"/>
      <c r="N61" s="14">
        <f t="shared" si="11"/>
        <v>0</v>
      </c>
      <c r="O61" s="14">
        <f t="shared" si="12"/>
        <v>1</v>
      </c>
    </row>
    <row r="62" spans="1:15" ht="15.75" customHeight="1" x14ac:dyDescent="0.25">
      <c r="A62" s="14" t="s">
        <v>42</v>
      </c>
      <c r="B62" s="14" t="s">
        <v>36</v>
      </c>
      <c r="C62" s="14"/>
      <c r="D62" s="14"/>
      <c r="E62" s="14"/>
      <c r="F62" s="14">
        <f t="shared" si="9"/>
        <v>0</v>
      </c>
      <c r="G62" s="14"/>
      <c r="H62" s="14"/>
      <c r="I62" s="14"/>
      <c r="J62" s="14">
        <f t="shared" si="10"/>
        <v>0</v>
      </c>
      <c r="K62" s="14"/>
      <c r="L62" s="14"/>
      <c r="M62" s="14"/>
      <c r="N62" s="14">
        <f t="shared" si="11"/>
        <v>0</v>
      </c>
      <c r="O62" s="14">
        <f t="shared" si="12"/>
        <v>0</v>
      </c>
    </row>
    <row r="63" spans="1:15" ht="15.75" customHeight="1" x14ac:dyDescent="0.25">
      <c r="A63" s="14" t="s">
        <v>17</v>
      </c>
      <c r="B63" s="14" t="s">
        <v>36</v>
      </c>
      <c r="C63" s="14"/>
      <c r="D63" s="14"/>
      <c r="E63" s="14"/>
      <c r="F63" s="14">
        <f t="shared" si="9"/>
        <v>0</v>
      </c>
      <c r="G63" s="14"/>
      <c r="H63" s="14"/>
      <c r="I63" s="14"/>
      <c r="J63" s="14">
        <f t="shared" si="10"/>
        <v>0</v>
      </c>
      <c r="K63" s="14"/>
      <c r="L63" s="14"/>
      <c r="M63" s="14"/>
      <c r="N63" s="14">
        <f t="shared" si="11"/>
        <v>0</v>
      </c>
      <c r="O63" s="14">
        <f t="shared" si="12"/>
        <v>0</v>
      </c>
    </row>
    <row r="64" spans="1:15" ht="15.75" customHeight="1" x14ac:dyDescent="0.25">
      <c r="A64" s="14" t="s">
        <v>43</v>
      </c>
      <c r="B64" s="14" t="s">
        <v>36</v>
      </c>
      <c r="C64" s="14"/>
      <c r="D64" s="14"/>
      <c r="E64" s="14"/>
      <c r="F64" s="14">
        <f t="shared" si="9"/>
        <v>0</v>
      </c>
      <c r="G64" s="14"/>
      <c r="H64" s="14"/>
      <c r="I64" s="14"/>
      <c r="J64" s="14">
        <f t="shared" si="10"/>
        <v>0</v>
      </c>
      <c r="K64" s="14"/>
      <c r="L64" s="14"/>
      <c r="M64" s="14"/>
      <c r="N64" s="14">
        <f t="shared" si="11"/>
        <v>0</v>
      </c>
      <c r="O64" s="14">
        <f t="shared" si="12"/>
        <v>0</v>
      </c>
    </row>
    <row r="65" spans="1:15" ht="15.75" customHeight="1" x14ac:dyDescent="0.25">
      <c r="A65" s="14" t="s">
        <v>44</v>
      </c>
      <c r="B65" s="14" t="s">
        <v>36</v>
      </c>
      <c r="C65" s="14"/>
      <c r="D65" s="14"/>
      <c r="E65" s="14"/>
      <c r="F65" s="14">
        <f t="shared" si="9"/>
        <v>0</v>
      </c>
      <c r="G65" s="14"/>
      <c r="H65" s="14"/>
      <c r="I65" s="14"/>
      <c r="J65" s="14">
        <f t="shared" si="10"/>
        <v>0</v>
      </c>
      <c r="K65" s="14"/>
      <c r="L65" s="14"/>
      <c r="M65" s="14"/>
      <c r="N65" s="14">
        <f t="shared" si="11"/>
        <v>0</v>
      </c>
      <c r="O65" s="14">
        <f t="shared" si="12"/>
        <v>0</v>
      </c>
    </row>
    <row r="66" spans="1:15" ht="15.75" customHeight="1" x14ac:dyDescent="0.25">
      <c r="A66" s="14" t="s">
        <v>45</v>
      </c>
      <c r="B66" s="14" t="s">
        <v>36</v>
      </c>
      <c r="C66" s="14"/>
      <c r="D66" s="14"/>
      <c r="E66" s="14"/>
      <c r="F66" s="14">
        <f t="shared" si="9"/>
        <v>0</v>
      </c>
      <c r="G66" s="14"/>
      <c r="H66" s="14"/>
      <c r="I66" s="14"/>
      <c r="J66" s="14">
        <f t="shared" si="10"/>
        <v>0</v>
      </c>
      <c r="K66" s="14"/>
      <c r="L66" s="14"/>
      <c r="M66" s="14"/>
      <c r="N66" s="14">
        <f t="shared" si="11"/>
        <v>0</v>
      </c>
      <c r="O66" s="14">
        <f t="shared" si="12"/>
        <v>0</v>
      </c>
    </row>
    <row r="67" spans="1:15" ht="15.75" customHeight="1" x14ac:dyDescent="0.25">
      <c r="A67" s="2" t="s">
        <v>3</v>
      </c>
      <c r="B67" s="2"/>
      <c r="C67" s="17">
        <f>SUM(C37:C66)</f>
        <v>8</v>
      </c>
      <c r="D67" s="17">
        <f t="shared" ref="D67:E67" si="13">SUM(D37:D66)</f>
        <v>0</v>
      </c>
      <c r="E67" s="17">
        <f t="shared" si="13"/>
        <v>0</v>
      </c>
      <c r="F67" s="17">
        <f t="shared" ref="F67:O67" si="14">SUM(F37:F66)</f>
        <v>8</v>
      </c>
      <c r="G67" s="17">
        <f>SUM(G37:G66)</f>
        <v>10</v>
      </c>
      <c r="H67" s="17">
        <f t="shared" ref="H67:J67" si="15">SUM(H37:H66)</f>
        <v>0</v>
      </c>
      <c r="I67" s="17">
        <f t="shared" si="15"/>
        <v>0</v>
      </c>
      <c r="J67" s="17">
        <f t="shared" si="15"/>
        <v>10</v>
      </c>
      <c r="K67" s="17">
        <v>0</v>
      </c>
      <c r="L67" s="17">
        <v>0</v>
      </c>
      <c r="M67" s="17">
        <v>0</v>
      </c>
      <c r="N67" s="17">
        <f t="shared" ref="N67" si="16">SUM(N37:N66)</f>
        <v>0</v>
      </c>
      <c r="O67" s="2">
        <f t="shared" si="14"/>
        <v>18</v>
      </c>
    </row>
    <row r="68" spans="1:15" ht="15.75" customHeight="1" x14ac:dyDescent="0.25"/>
    <row r="69" spans="1:15" ht="15.75" customHeight="1" x14ac:dyDescent="0.25">
      <c r="A69" s="32" t="s">
        <v>24</v>
      </c>
      <c r="B69" s="32"/>
      <c r="C69" s="26"/>
      <c r="D69" s="26"/>
      <c r="E69" s="26"/>
      <c r="F69" s="9" t="s">
        <v>49</v>
      </c>
      <c r="G69" s="9"/>
      <c r="H69" s="9"/>
      <c r="I69" s="9"/>
      <c r="J69" s="9" t="s">
        <v>50</v>
      </c>
      <c r="K69" s="9"/>
      <c r="L69" s="9"/>
      <c r="M69" s="9"/>
      <c r="N69" s="9" t="s">
        <v>53</v>
      </c>
      <c r="O69" s="9"/>
    </row>
    <row r="70" spans="1:15" ht="15.75" customHeight="1" x14ac:dyDescent="0.25">
      <c r="A70" s="32"/>
      <c r="B70" s="32"/>
      <c r="C70" s="27"/>
      <c r="D70" s="27"/>
      <c r="E70" s="27"/>
      <c r="F70" s="11" t="s">
        <v>51</v>
      </c>
      <c r="G70" s="11" t="s">
        <v>46</v>
      </c>
      <c r="H70" s="11" t="s">
        <v>47</v>
      </c>
      <c r="I70" s="11" t="s">
        <v>48</v>
      </c>
      <c r="J70" s="11" t="s">
        <v>52</v>
      </c>
      <c r="K70" s="11"/>
      <c r="L70" s="11"/>
      <c r="M70" s="11"/>
      <c r="N70" s="11" t="s">
        <v>54</v>
      </c>
      <c r="O70" s="2" t="s">
        <v>3</v>
      </c>
    </row>
    <row r="71" spans="1:15" ht="15.75" customHeight="1" x14ac:dyDescent="0.25">
      <c r="A71" s="33" t="s">
        <v>25</v>
      </c>
      <c r="B71" s="34"/>
      <c r="C71" s="18"/>
      <c r="D71" s="18"/>
      <c r="E71" s="18"/>
      <c r="F71" s="13">
        <f>F33</f>
        <v>32</v>
      </c>
      <c r="G71" s="13"/>
      <c r="H71" s="13"/>
      <c r="I71" s="13"/>
      <c r="J71" s="13">
        <f>J33</f>
        <v>50</v>
      </c>
      <c r="K71" s="13"/>
      <c r="L71" s="13"/>
      <c r="M71" s="13"/>
      <c r="N71" s="13">
        <f>N33</f>
        <v>58</v>
      </c>
      <c r="O71" s="14">
        <f>SUM(F71+J71+N71)</f>
        <v>140</v>
      </c>
    </row>
    <row r="72" spans="1:15" ht="15.75" customHeight="1" x14ac:dyDescent="0.25">
      <c r="A72" s="35" t="s">
        <v>26</v>
      </c>
      <c r="B72" s="36"/>
      <c r="C72" s="18"/>
      <c r="D72" s="18"/>
      <c r="E72" s="18"/>
      <c r="F72" s="13">
        <f>F67</f>
        <v>8</v>
      </c>
      <c r="G72" s="13"/>
      <c r="H72" s="13"/>
      <c r="I72" s="13"/>
      <c r="J72" s="13">
        <f>J67</f>
        <v>10</v>
      </c>
      <c r="K72" s="13"/>
      <c r="L72" s="13"/>
      <c r="M72" s="13"/>
      <c r="N72" s="13">
        <f>N67</f>
        <v>0</v>
      </c>
      <c r="O72" s="14">
        <f>SUM(F72+J72+N72)</f>
        <v>18</v>
      </c>
    </row>
    <row r="73" spans="1:15" ht="15.75" customHeight="1" x14ac:dyDescent="0.25">
      <c r="A73" s="35" t="s">
        <v>27</v>
      </c>
      <c r="B73" s="36"/>
      <c r="C73" s="18"/>
      <c r="D73" s="18"/>
      <c r="E73" s="18"/>
      <c r="F73" s="19">
        <f>F72/F71</f>
        <v>0.25</v>
      </c>
      <c r="G73" s="19"/>
      <c r="H73" s="19"/>
      <c r="I73" s="19"/>
      <c r="J73" s="19">
        <f>J72/J71</f>
        <v>0.2</v>
      </c>
      <c r="K73" s="19"/>
      <c r="L73" s="19"/>
      <c r="M73" s="19"/>
      <c r="N73" s="19">
        <f>N72/N71</f>
        <v>0</v>
      </c>
      <c r="O73" s="19">
        <f t="shared" ref="O73" si="17">O72/O71</f>
        <v>0.12857142857142856</v>
      </c>
    </row>
    <row r="74" spans="1:15" ht="15.75" customHeight="1" x14ac:dyDescent="0.25"/>
    <row r="75" spans="1:15" ht="15.75" customHeight="1" x14ac:dyDescent="0.25"/>
    <row r="76" spans="1:15" ht="15.75" customHeight="1" x14ac:dyDescent="0.25">
      <c r="A76" s="20" t="s">
        <v>28</v>
      </c>
    </row>
    <row r="77" spans="1:15" ht="15.75" customHeight="1" x14ac:dyDescent="0.25">
      <c r="A77" s="21" t="s">
        <v>6</v>
      </c>
      <c r="B77" s="3">
        <f>SUM(O3:O14)</f>
        <v>97</v>
      </c>
      <c r="C77" s="22">
        <f>B77/B79</f>
        <v>0.69285714285714284</v>
      </c>
    </row>
    <row r="78" spans="1:15" ht="15.75" customHeight="1" x14ac:dyDescent="0.25">
      <c r="A78" s="4" t="s">
        <v>11</v>
      </c>
      <c r="B78" s="5">
        <f>SUM(O15:O32)</f>
        <v>43</v>
      </c>
      <c r="C78" s="23">
        <f>B78/B79</f>
        <v>0.30714285714285716</v>
      </c>
    </row>
    <row r="79" spans="1:15" ht="15.75" customHeight="1" x14ac:dyDescent="0.25">
      <c r="A79" s="6" t="s">
        <v>23</v>
      </c>
      <c r="B79" s="7">
        <f>SUBTOTAL(9,B77:B78)</f>
        <v>140</v>
      </c>
      <c r="C79" s="8">
        <f>C77+C78</f>
        <v>1</v>
      </c>
    </row>
    <row r="80" spans="1:15" ht="15.75" customHeight="1" x14ac:dyDescent="0.25"/>
  </sheetData>
  <mergeCells count="6">
    <mergeCell ref="A69:B70"/>
    <mergeCell ref="A71:B71"/>
    <mergeCell ref="A72:B72"/>
    <mergeCell ref="A73:B73"/>
    <mergeCell ref="A1:B1"/>
    <mergeCell ref="A35:B35"/>
  </mergeCells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B01C8181D9C04B98651A1002FA481F" ma:contentTypeVersion="5" ma:contentTypeDescription="Create a new document." ma:contentTypeScope="" ma:versionID="9373516e45e2b192ab7cefb6888ac5b6">
  <xsd:schema xmlns:xsd="http://www.w3.org/2001/XMLSchema" xmlns:xs="http://www.w3.org/2001/XMLSchema" xmlns:p="http://schemas.microsoft.com/office/2006/metadata/properties" xmlns:ns3="6ec09c68-6bdb-4e27-9b6b-7f186b124565" targetNamespace="http://schemas.microsoft.com/office/2006/metadata/properties" ma:root="true" ma:fieldsID="c33a6ed675f5d4f920a205e95f7a464c" ns3:_="">
    <xsd:import namespace="6ec09c68-6bdb-4e27-9b6b-7f186b12456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c09c68-6bdb-4e27-9b6b-7f186b12456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ADEF745-46FF-4189-9B0A-3FDE3711E821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purl.org/dc/terms/"/>
    <ds:schemaRef ds:uri="6ec09c68-6bdb-4e27-9b6b-7f186b124565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737B7A5-543C-4611-8851-C764DDFC28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c09c68-6bdb-4e27-9b6b-7f186b1245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66A8C5-BDA9-4154-A2E2-2D3323D517C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Amazon_Cocoblue+August'26+FBA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17</dc:creator>
  <cp:lastModifiedBy>IT 17</cp:lastModifiedBy>
  <dcterms:created xsi:type="dcterms:W3CDTF">2026-01-14T12:13:58Z</dcterms:created>
  <dcterms:modified xsi:type="dcterms:W3CDTF">2026-08-04T06:42:33Z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0x010100B1B01C8181D9C04B98651A1002FA481F</vt:lpwstr>
  </property>
</Properties>
</file>