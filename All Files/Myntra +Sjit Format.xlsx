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Manan\Analysis\Myntra\"/>
    </mc:Choice>
  </mc:AlternateContent>
  <xr:revisionPtr revIDLastSave="0" documentId="13_ncr:1_{88B9E2E0-659F-47B4-B68D-BF9975DAF7D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yntra-July26" sheetId="1" r:id="rId1"/>
  </sheets>
  <definedNames>
    <definedName name="_xlnm._FilterDatabase" localSheetId="0" hidden="1">'Myntra-July26'!$CU$1:$CU$84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U36" i="1" l="1"/>
  <c r="CU77" i="1"/>
  <c r="CU76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40" i="1"/>
  <c r="CU4" i="1"/>
  <c r="CU5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" i="1"/>
  <c r="CT48" i="1"/>
  <c r="CT56" i="1"/>
  <c r="CT64" i="1"/>
  <c r="CT40" i="1"/>
  <c r="CT5" i="1"/>
  <c r="CT6" i="1"/>
  <c r="CT9" i="1"/>
  <c r="CT11" i="1"/>
  <c r="CT17" i="1"/>
  <c r="CT19" i="1"/>
  <c r="CT20" i="1"/>
  <c r="CT25" i="1"/>
  <c r="CT27" i="1"/>
  <c r="CT28" i="1"/>
  <c r="CT30" i="1"/>
  <c r="CT33" i="1"/>
  <c r="CS35" i="1"/>
  <c r="CR35" i="1"/>
  <c r="CT41" i="1"/>
  <c r="CT42" i="1"/>
  <c r="CT43" i="1"/>
  <c r="CT44" i="1"/>
  <c r="CT45" i="1"/>
  <c r="CT46" i="1"/>
  <c r="CT47" i="1"/>
  <c r="CT49" i="1"/>
  <c r="CT50" i="1"/>
  <c r="CT51" i="1"/>
  <c r="CT52" i="1"/>
  <c r="CT53" i="1"/>
  <c r="CT54" i="1"/>
  <c r="CT55" i="1"/>
  <c r="CT57" i="1"/>
  <c r="CT58" i="1"/>
  <c r="CT59" i="1"/>
  <c r="CT60" i="1"/>
  <c r="CT61" i="1"/>
  <c r="CT62" i="1"/>
  <c r="CT63" i="1"/>
  <c r="CT65" i="1"/>
  <c r="CT66" i="1"/>
  <c r="CT67" i="1"/>
  <c r="CT68" i="1"/>
  <c r="CT69" i="1"/>
  <c r="CT70" i="1"/>
  <c r="CT71" i="1"/>
  <c r="CS72" i="1"/>
  <c r="CR72" i="1"/>
  <c r="CT4" i="1"/>
  <c r="CT7" i="1"/>
  <c r="CT8" i="1"/>
  <c r="CT10" i="1"/>
  <c r="CT12" i="1"/>
  <c r="CT13" i="1"/>
  <c r="CT14" i="1"/>
  <c r="CT15" i="1"/>
  <c r="CT16" i="1"/>
  <c r="CT18" i="1"/>
  <c r="CT21" i="1"/>
  <c r="CT22" i="1"/>
  <c r="CT23" i="1"/>
  <c r="CT24" i="1"/>
  <c r="CT26" i="1"/>
  <c r="CT29" i="1"/>
  <c r="CT31" i="1"/>
  <c r="CT32" i="1"/>
  <c r="CT34" i="1"/>
  <c r="CQ41" i="1"/>
  <c r="CQ45" i="1"/>
  <c r="CQ48" i="1"/>
  <c r="CQ49" i="1"/>
  <c r="CQ53" i="1"/>
  <c r="CQ56" i="1"/>
  <c r="CQ57" i="1"/>
  <c r="CQ61" i="1"/>
  <c r="CQ64" i="1"/>
  <c r="CQ65" i="1"/>
  <c r="CQ69" i="1"/>
  <c r="CQ40" i="1"/>
  <c r="CQ6" i="1"/>
  <c r="CQ7" i="1"/>
  <c r="CQ11" i="1"/>
  <c r="CQ15" i="1"/>
  <c r="CQ18" i="1"/>
  <c r="CQ19" i="1"/>
  <c r="CQ23" i="1"/>
  <c r="CQ26" i="1"/>
  <c r="CQ27" i="1"/>
  <c r="CQ30" i="1"/>
  <c r="CQ34" i="1"/>
  <c r="CQ8" i="1"/>
  <c r="CQ9" i="1"/>
  <c r="CQ10" i="1"/>
  <c r="CQ16" i="1"/>
  <c r="CQ17" i="1"/>
  <c r="CQ24" i="1"/>
  <c r="CQ25" i="1"/>
  <c r="CQ31" i="1"/>
  <c r="CQ32" i="1"/>
  <c r="CQ33" i="1"/>
  <c r="CO35" i="1"/>
  <c r="CQ42" i="1"/>
  <c r="CQ43" i="1"/>
  <c r="CQ44" i="1"/>
  <c r="CQ46" i="1"/>
  <c r="CQ47" i="1"/>
  <c r="CQ50" i="1"/>
  <c r="CQ51" i="1"/>
  <c r="CQ52" i="1"/>
  <c r="CQ54" i="1"/>
  <c r="CQ55" i="1"/>
  <c r="CQ58" i="1"/>
  <c r="CQ59" i="1"/>
  <c r="CQ60" i="1"/>
  <c r="CQ62" i="1"/>
  <c r="CQ63" i="1"/>
  <c r="CQ66" i="1"/>
  <c r="CQ67" i="1"/>
  <c r="CQ68" i="1"/>
  <c r="CQ70" i="1"/>
  <c r="CQ71" i="1"/>
  <c r="CP72" i="1"/>
  <c r="CP35" i="1"/>
  <c r="CQ4" i="1"/>
  <c r="CQ5" i="1"/>
  <c r="CQ12" i="1"/>
  <c r="CQ13" i="1"/>
  <c r="CQ14" i="1"/>
  <c r="CQ20" i="1"/>
  <c r="CQ21" i="1"/>
  <c r="CQ22" i="1"/>
  <c r="CQ28" i="1"/>
  <c r="CQ29" i="1"/>
  <c r="CN48" i="1"/>
  <c r="CN56" i="1"/>
  <c r="CN64" i="1"/>
  <c r="CN41" i="1"/>
  <c r="CN42" i="1"/>
  <c r="CN43" i="1"/>
  <c r="CN44" i="1"/>
  <c r="CN45" i="1"/>
  <c r="CN46" i="1"/>
  <c r="CN47" i="1"/>
  <c r="CN49" i="1"/>
  <c r="CN50" i="1"/>
  <c r="CN51" i="1"/>
  <c r="CN52" i="1"/>
  <c r="CN53" i="1"/>
  <c r="CN54" i="1"/>
  <c r="CN55" i="1"/>
  <c r="CN57" i="1"/>
  <c r="CN58" i="1"/>
  <c r="CN59" i="1"/>
  <c r="CN60" i="1"/>
  <c r="CN61" i="1"/>
  <c r="CN62" i="1"/>
  <c r="CN63" i="1"/>
  <c r="CN65" i="1"/>
  <c r="CN66" i="1"/>
  <c r="CN67" i="1"/>
  <c r="CN68" i="1"/>
  <c r="CN69" i="1"/>
  <c r="CN70" i="1"/>
  <c r="CN71" i="1"/>
  <c r="CN40" i="1"/>
  <c r="CM72" i="1"/>
  <c r="CL72" i="1"/>
  <c r="CN11" i="1"/>
  <c r="CN19" i="1"/>
  <c r="CN21" i="1"/>
  <c r="CN3" i="1"/>
  <c r="CN4" i="1"/>
  <c r="CN5" i="1"/>
  <c r="CN6" i="1"/>
  <c r="CN7" i="1"/>
  <c r="CN8" i="1"/>
  <c r="CN9" i="1"/>
  <c r="CN10" i="1"/>
  <c r="CN12" i="1"/>
  <c r="CN13" i="1"/>
  <c r="CN14" i="1"/>
  <c r="CN15" i="1"/>
  <c r="CN16" i="1"/>
  <c r="CN17" i="1"/>
  <c r="CN18" i="1"/>
  <c r="CN20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M35" i="1"/>
  <c r="CK46" i="1"/>
  <c r="CK47" i="1"/>
  <c r="CK48" i="1"/>
  <c r="CK54" i="1"/>
  <c r="CK55" i="1"/>
  <c r="CK56" i="1"/>
  <c r="CK62" i="1"/>
  <c r="CK63" i="1"/>
  <c r="CK64" i="1"/>
  <c r="CK70" i="1"/>
  <c r="CK71" i="1"/>
  <c r="CK40" i="1"/>
  <c r="CK7" i="1"/>
  <c r="CK8" i="1"/>
  <c r="CK9" i="1"/>
  <c r="CK10" i="1"/>
  <c r="CK11" i="1"/>
  <c r="CK17" i="1"/>
  <c r="CK18" i="1"/>
  <c r="CK19" i="1"/>
  <c r="CK23" i="1"/>
  <c r="CK24" i="1"/>
  <c r="CK27" i="1"/>
  <c r="CK31" i="1"/>
  <c r="CK32" i="1"/>
  <c r="CK33" i="1"/>
  <c r="CK34" i="1"/>
  <c r="CJ35" i="1"/>
  <c r="CK25" i="1"/>
  <c r="CK26" i="1"/>
  <c r="CI35" i="1"/>
  <c r="CK41" i="1"/>
  <c r="CK42" i="1"/>
  <c r="CK43" i="1"/>
  <c r="CK44" i="1"/>
  <c r="CK45" i="1"/>
  <c r="CK49" i="1"/>
  <c r="CK50" i="1"/>
  <c r="CK51" i="1"/>
  <c r="CK52" i="1"/>
  <c r="CK53" i="1"/>
  <c r="CK57" i="1"/>
  <c r="CK58" i="1"/>
  <c r="CK59" i="1"/>
  <c r="CK60" i="1"/>
  <c r="CK61" i="1"/>
  <c r="CK65" i="1"/>
  <c r="CK66" i="1"/>
  <c r="CK67" i="1"/>
  <c r="CK68" i="1"/>
  <c r="CK69" i="1"/>
  <c r="CJ72" i="1"/>
  <c r="CI72" i="1"/>
  <c r="CK4" i="1"/>
  <c r="CK5" i="1"/>
  <c r="CK6" i="1"/>
  <c r="CK12" i="1"/>
  <c r="CK13" i="1"/>
  <c r="CK14" i="1"/>
  <c r="CK15" i="1"/>
  <c r="CK16" i="1"/>
  <c r="CK20" i="1"/>
  <c r="CK21" i="1"/>
  <c r="CK22" i="1"/>
  <c r="CK28" i="1"/>
  <c r="CK29" i="1"/>
  <c r="CK3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40" i="1"/>
  <c r="CF72" i="1"/>
  <c r="CG72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" i="1"/>
  <c r="CG35" i="1"/>
  <c r="CF35" i="1"/>
  <c r="CE42" i="1"/>
  <c r="CE47" i="1"/>
  <c r="CE50" i="1"/>
  <c r="CE55" i="1"/>
  <c r="CE58" i="1"/>
  <c r="CE63" i="1"/>
  <c r="CE66" i="1"/>
  <c r="CE71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CB41" i="1"/>
  <c r="CE41" i="1"/>
  <c r="CB42" i="1"/>
  <c r="CB43" i="1"/>
  <c r="CE43" i="1"/>
  <c r="CB44" i="1"/>
  <c r="CE44" i="1"/>
  <c r="CB45" i="1"/>
  <c r="CE45" i="1"/>
  <c r="CB46" i="1"/>
  <c r="CE46" i="1"/>
  <c r="CB47" i="1"/>
  <c r="CB48" i="1"/>
  <c r="CE48" i="1"/>
  <c r="CB49" i="1"/>
  <c r="CE49" i="1"/>
  <c r="CB50" i="1"/>
  <c r="CB51" i="1"/>
  <c r="CE51" i="1"/>
  <c r="CB52" i="1"/>
  <c r="CE52" i="1"/>
  <c r="CB53" i="1"/>
  <c r="CE53" i="1"/>
  <c r="CB54" i="1"/>
  <c r="CE54" i="1"/>
  <c r="CB55" i="1"/>
  <c r="CB56" i="1"/>
  <c r="CE56" i="1"/>
  <c r="CB57" i="1"/>
  <c r="CE57" i="1"/>
  <c r="CB58" i="1"/>
  <c r="CB59" i="1"/>
  <c r="CE59" i="1"/>
  <c r="CB60" i="1"/>
  <c r="CE60" i="1"/>
  <c r="CB61" i="1"/>
  <c r="CE61" i="1"/>
  <c r="CB62" i="1"/>
  <c r="CE62" i="1"/>
  <c r="CB63" i="1"/>
  <c r="CB64" i="1"/>
  <c r="CE64" i="1"/>
  <c r="CB65" i="1"/>
  <c r="CE65" i="1"/>
  <c r="CB66" i="1"/>
  <c r="CB67" i="1"/>
  <c r="CE67" i="1"/>
  <c r="CB68" i="1"/>
  <c r="CE68" i="1"/>
  <c r="CB69" i="1"/>
  <c r="CE69" i="1"/>
  <c r="CB70" i="1"/>
  <c r="CE70" i="1"/>
  <c r="CB71" i="1"/>
  <c r="CB40" i="1"/>
  <c r="CD72" i="1"/>
  <c r="CA72" i="1"/>
  <c r="BZ72" i="1"/>
  <c r="CE10" i="1"/>
  <c r="CE18" i="1"/>
  <c r="CE26" i="1"/>
  <c r="CE34" i="1"/>
  <c r="CD35" i="1"/>
  <c r="CB10" i="1"/>
  <c r="CB15" i="1"/>
  <c r="CB18" i="1"/>
  <c r="CB19" i="1"/>
  <c r="CB23" i="1"/>
  <c r="CB26" i="1"/>
  <c r="CB31" i="1"/>
  <c r="CB34" i="1"/>
  <c r="BY4" i="1"/>
  <c r="BX35" i="1"/>
  <c r="BY8" i="1"/>
  <c r="BY9" i="1"/>
  <c r="BY10" i="1"/>
  <c r="BY13" i="1"/>
  <c r="BY16" i="1"/>
  <c r="BY17" i="1"/>
  <c r="BY18" i="1"/>
  <c r="BY21" i="1"/>
  <c r="BY25" i="1"/>
  <c r="BY26" i="1"/>
  <c r="BY28" i="1"/>
  <c r="BY34" i="1"/>
  <c r="BY3" i="1"/>
  <c r="CB4" i="1"/>
  <c r="CB5" i="1"/>
  <c r="CB6" i="1"/>
  <c r="CB7" i="1"/>
  <c r="CB8" i="1"/>
  <c r="CB9" i="1"/>
  <c r="CB11" i="1"/>
  <c r="CB12" i="1"/>
  <c r="CB14" i="1"/>
  <c r="CB16" i="1"/>
  <c r="CB17" i="1"/>
  <c r="CB20" i="1"/>
  <c r="CB21" i="1"/>
  <c r="CB22" i="1"/>
  <c r="CB27" i="1"/>
  <c r="CB30" i="1"/>
  <c r="CB32" i="1"/>
  <c r="CB33" i="1"/>
  <c r="CC35" i="1"/>
  <c r="BW35" i="1"/>
  <c r="CE4" i="1"/>
  <c r="CE5" i="1"/>
  <c r="BY6" i="1"/>
  <c r="CE6" i="1"/>
  <c r="BY7" i="1"/>
  <c r="CE7" i="1"/>
  <c r="CE8" i="1"/>
  <c r="CE9" i="1"/>
  <c r="BY11" i="1"/>
  <c r="CE11" i="1"/>
  <c r="BY12" i="1"/>
  <c r="CE12" i="1"/>
  <c r="CB13" i="1"/>
  <c r="CE13" i="1"/>
  <c r="BY14" i="1"/>
  <c r="CE14" i="1"/>
  <c r="BY15" i="1"/>
  <c r="CE15" i="1"/>
  <c r="CE16" i="1"/>
  <c r="CE17" i="1"/>
  <c r="BY19" i="1"/>
  <c r="CE19" i="1"/>
  <c r="BY20" i="1"/>
  <c r="CE20" i="1"/>
  <c r="CE21" i="1"/>
  <c r="BY22" i="1"/>
  <c r="CE22" i="1"/>
  <c r="BY23" i="1"/>
  <c r="CE23" i="1"/>
  <c r="BY24" i="1"/>
  <c r="CB24" i="1"/>
  <c r="CE24" i="1"/>
  <c r="CB25" i="1"/>
  <c r="CE25" i="1"/>
  <c r="BY27" i="1"/>
  <c r="CE27" i="1"/>
  <c r="CB28" i="1"/>
  <c r="CE28" i="1"/>
  <c r="BY29" i="1"/>
  <c r="CB29" i="1"/>
  <c r="CE29" i="1"/>
  <c r="BY30" i="1"/>
  <c r="CE30" i="1"/>
  <c r="BY31" i="1"/>
  <c r="CE31" i="1"/>
  <c r="BY32" i="1"/>
  <c r="CE32" i="1"/>
  <c r="BY33" i="1"/>
  <c r="CE33" i="1"/>
  <c r="BV42" i="1"/>
  <c r="BV45" i="1"/>
  <c r="BV47" i="1"/>
  <c r="BV50" i="1"/>
  <c r="BV53" i="1"/>
  <c r="BV55" i="1"/>
  <c r="BV58" i="1"/>
  <c r="BV61" i="1"/>
  <c r="BV63" i="1"/>
  <c r="BV66" i="1"/>
  <c r="BV69" i="1"/>
  <c r="BV71" i="1"/>
  <c r="BU35" i="1"/>
  <c r="BV6" i="1"/>
  <c r="BV12" i="1"/>
  <c r="BV14" i="1"/>
  <c r="BV17" i="1"/>
  <c r="BV18" i="1"/>
  <c r="BV20" i="1"/>
  <c r="BV22" i="1"/>
  <c r="BV25" i="1"/>
  <c r="BV28" i="1"/>
  <c r="BV33" i="1"/>
  <c r="BV34" i="1"/>
  <c r="BV3" i="1"/>
  <c r="BV4" i="1"/>
  <c r="BV10" i="1"/>
  <c r="BV26" i="1"/>
  <c r="BV30" i="1"/>
  <c r="BV41" i="1"/>
  <c r="BV43" i="1"/>
  <c r="BV44" i="1"/>
  <c r="BV46" i="1"/>
  <c r="BV48" i="1"/>
  <c r="BV49" i="1"/>
  <c r="BV51" i="1"/>
  <c r="BV52" i="1"/>
  <c r="BV54" i="1"/>
  <c r="BV56" i="1"/>
  <c r="BV57" i="1"/>
  <c r="BV59" i="1"/>
  <c r="BV60" i="1"/>
  <c r="BV62" i="1"/>
  <c r="BV64" i="1"/>
  <c r="BV65" i="1"/>
  <c r="BV67" i="1"/>
  <c r="BV68" i="1"/>
  <c r="BV70" i="1"/>
  <c r="BV40" i="1"/>
  <c r="BU72" i="1"/>
  <c r="BV5" i="1"/>
  <c r="BV7" i="1"/>
  <c r="BV8" i="1"/>
  <c r="BV9" i="1"/>
  <c r="BV11" i="1"/>
  <c r="BV13" i="1"/>
  <c r="BV15" i="1"/>
  <c r="BV16" i="1"/>
  <c r="BV19" i="1"/>
  <c r="BV21" i="1"/>
  <c r="BV23" i="1"/>
  <c r="BV24" i="1"/>
  <c r="BV27" i="1"/>
  <c r="BV29" i="1"/>
  <c r="BV31" i="1"/>
  <c r="BV32" i="1"/>
  <c r="BS52" i="1"/>
  <c r="BS53" i="1"/>
  <c r="BS54" i="1"/>
  <c r="BS56" i="1"/>
  <c r="BS41" i="1"/>
  <c r="BS42" i="1"/>
  <c r="BS43" i="1"/>
  <c r="BS44" i="1"/>
  <c r="BS45" i="1"/>
  <c r="BS46" i="1"/>
  <c r="BS47" i="1"/>
  <c r="BS48" i="1"/>
  <c r="BS49" i="1"/>
  <c r="BS50" i="1"/>
  <c r="BS51" i="1"/>
  <c r="BS55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40" i="1"/>
  <c r="BS8" i="1"/>
  <c r="BS9" i="1"/>
  <c r="BS10" i="1"/>
  <c r="BS11" i="1"/>
  <c r="BS15" i="1"/>
  <c r="BS24" i="1"/>
  <c r="BS25" i="1"/>
  <c r="BS26" i="1"/>
  <c r="BS27" i="1"/>
  <c r="BS31" i="1"/>
  <c r="BR35" i="1"/>
  <c r="BS16" i="1"/>
  <c r="BS17" i="1"/>
  <c r="BS18" i="1"/>
  <c r="BS19" i="1"/>
  <c r="BS32" i="1"/>
  <c r="BS33" i="1"/>
  <c r="BS34" i="1"/>
  <c r="BR72" i="1"/>
  <c r="BQ72" i="1"/>
  <c r="BS4" i="1"/>
  <c r="BS5" i="1"/>
  <c r="BS6" i="1"/>
  <c r="BS7" i="1"/>
  <c r="BS12" i="1"/>
  <c r="BS13" i="1"/>
  <c r="BS14" i="1"/>
  <c r="BS20" i="1"/>
  <c r="BS21" i="1"/>
  <c r="BS22" i="1"/>
  <c r="BS23" i="1"/>
  <c r="BS28" i="1"/>
  <c r="BS29" i="1"/>
  <c r="BS30" i="1"/>
  <c r="BP60" i="1"/>
  <c r="BP62" i="1"/>
  <c r="BP6" i="1"/>
  <c r="BP7" i="1"/>
  <c r="BP8" i="1"/>
  <c r="BP9" i="1"/>
  <c r="BP10" i="1"/>
  <c r="BP11" i="1"/>
  <c r="BP15" i="1"/>
  <c r="BP16" i="1"/>
  <c r="BP17" i="1"/>
  <c r="BP18" i="1"/>
  <c r="BP19" i="1"/>
  <c r="BP25" i="1"/>
  <c r="BP26" i="1"/>
  <c r="BP27" i="1"/>
  <c r="BP20" i="1"/>
  <c r="BP28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1" i="1"/>
  <c r="BP63" i="1"/>
  <c r="BP64" i="1"/>
  <c r="BP65" i="1"/>
  <c r="BP66" i="1"/>
  <c r="BP67" i="1"/>
  <c r="BP68" i="1"/>
  <c r="BP69" i="1"/>
  <c r="BP70" i="1"/>
  <c r="BP71" i="1"/>
  <c r="BP40" i="1"/>
  <c r="BO35" i="1"/>
  <c r="BP4" i="1"/>
  <c r="BP5" i="1"/>
  <c r="BP12" i="1"/>
  <c r="BP13" i="1"/>
  <c r="BP14" i="1"/>
  <c r="BP21" i="1"/>
  <c r="BP22" i="1"/>
  <c r="BP23" i="1"/>
  <c r="BP24" i="1"/>
  <c r="BP29" i="1"/>
  <c r="BP30" i="1"/>
  <c r="BP31" i="1"/>
  <c r="BP32" i="1"/>
  <c r="BP33" i="1"/>
  <c r="BP34" i="1"/>
  <c r="BL72" i="1"/>
  <c r="BK72" i="1"/>
  <c r="BM46" i="1"/>
  <c r="BM47" i="1"/>
  <c r="BM48" i="1"/>
  <c r="BM54" i="1"/>
  <c r="BM55" i="1"/>
  <c r="BM56" i="1"/>
  <c r="BM62" i="1"/>
  <c r="BM63" i="1"/>
  <c r="BM64" i="1"/>
  <c r="BM70" i="1"/>
  <c r="BM71" i="1"/>
  <c r="BM40" i="1"/>
  <c r="BM7" i="1"/>
  <c r="BM10" i="1"/>
  <c r="BM11" i="1"/>
  <c r="BM15" i="1"/>
  <c r="BM18" i="1"/>
  <c r="BM19" i="1"/>
  <c r="BM23" i="1"/>
  <c r="BM26" i="1"/>
  <c r="BM27" i="1"/>
  <c r="BM34" i="1"/>
  <c r="BM3" i="1"/>
  <c r="BM41" i="1"/>
  <c r="BM42" i="1"/>
  <c r="BM43" i="1"/>
  <c r="BM44" i="1"/>
  <c r="BM45" i="1"/>
  <c r="BM49" i="1"/>
  <c r="BM50" i="1"/>
  <c r="BM51" i="1"/>
  <c r="BM52" i="1"/>
  <c r="BM53" i="1"/>
  <c r="BM57" i="1"/>
  <c r="BM58" i="1"/>
  <c r="BM59" i="1"/>
  <c r="BM60" i="1"/>
  <c r="BM61" i="1"/>
  <c r="BM65" i="1"/>
  <c r="BM66" i="1"/>
  <c r="BM67" i="1"/>
  <c r="BM68" i="1"/>
  <c r="BM69" i="1"/>
  <c r="BL35" i="1"/>
  <c r="BK35" i="1"/>
  <c r="BM4" i="1"/>
  <c r="BM5" i="1"/>
  <c r="BM6" i="1"/>
  <c r="BM8" i="1"/>
  <c r="BM9" i="1"/>
  <c r="BM12" i="1"/>
  <c r="BM13" i="1"/>
  <c r="BM14" i="1"/>
  <c r="BM16" i="1"/>
  <c r="BM17" i="1"/>
  <c r="BM20" i="1"/>
  <c r="BM21" i="1"/>
  <c r="BM22" i="1"/>
  <c r="BM24" i="1"/>
  <c r="BM25" i="1"/>
  <c r="BM28" i="1"/>
  <c r="BM29" i="1"/>
  <c r="BM30" i="1"/>
  <c r="BM31" i="1"/>
  <c r="BM32" i="1"/>
  <c r="BM33" i="1"/>
  <c r="BD5" i="1"/>
  <c r="BD7" i="1"/>
  <c r="BD9" i="1"/>
  <c r="BD11" i="1"/>
  <c r="BD13" i="1"/>
  <c r="BD19" i="1"/>
  <c r="BD21" i="1"/>
  <c r="BD23" i="1"/>
  <c r="BD25" i="1"/>
  <c r="BD27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40" i="1"/>
  <c r="BH72" i="1"/>
  <c r="BD41" i="1"/>
  <c r="BD42" i="1"/>
  <c r="BD43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1" i="1"/>
  <c r="BD62" i="1"/>
  <c r="BD63" i="1"/>
  <c r="BD64" i="1"/>
  <c r="BD65" i="1"/>
  <c r="BD66" i="1"/>
  <c r="BD67" i="1"/>
  <c r="BD69" i="1"/>
  <c r="BD70" i="1"/>
  <c r="BD71" i="1"/>
  <c r="BJ5" i="1"/>
  <c r="BJ10" i="1"/>
  <c r="BJ11" i="1"/>
  <c r="BJ19" i="1"/>
  <c r="BJ21" i="1"/>
  <c r="BJ26" i="1"/>
  <c r="BJ27" i="1"/>
  <c r="BJ34" i="1"/>
  <c r="BG4" i="1"/>
  <c r="BG6" i="1"/>
  <c r="BG10" i="1"/>
  <c r="BG11" i="1"/>
  <c r="BG12" i="1"/>
  <c r="BG14" i="1"/>
  <c r="BG18" i="1"/>
  <c r="BG19" i="1"/>
  <c r="BG20" i="1"/>
  <c r="BG22" i="1"/>
  <c r="BG26" i="1"/>
  <c r="BG27" i="1"/>
  <c r="BG28" i="1"/>
  <c r="BG30" i="1"/>
  <c r="BG34" i="1"/>
  <c r="BG3" i="1"/>
  <c r="BH35" i="1"/>
  <c r="BD4" i="1"/>
  <c r="BD6" i="1"/>
  <c r="BD8" i="1"/>
  <c r="BD10" i="1"/>
  <c r="BD12" i="1"/>
  <c r="BD14" i="1"/>
  <c r="BD15" i="1"/>
  <c r="BD16" i="1"/>
  <c r="BD17" i="1"/>
  <c r="BD18" i="1"/>
  <c r="BD20" i="1"/>
  <c r="BD22" i="1"/>
  <c r="BD24" i="1"/>
  <c r="BD26" i="1"/>
  <c r="BD28" i="1"/>
  <c r="BD29" i="1"/>
  <c r="BD30" i="1"/>
  <c r="BD31" i="1"/>
  <c r="BD32" i="1"/>
  <c r="BD33" i="1"/>
  <c r="BD34" i="1"/>
  <c r="BD44" i="1"/>
  <c r="BD60" i="1"/>
  <c r="BD68" i="1"/>
  <c r="BI72" i="1"/>
  <c r="BF72" i="1"/>
  <c r="BE72" i="1"/>
  <c r="BI35" i="1"/>
  <c r="BE35" i="1"/>
  <c r="BJ4" i="1"/>
  <c r="BG5" i="1"/>
  <c r="BJ6" i="1"/>
  <c r="BG7" i="1"/>
  <c r="BJ7" i="1"/>
  <c r="BG8" i="1"/>
  <c r="BJ8" i="1"/>
  <c r="BG9" i="1"/>
  <c r="BJ9" i="1"/>
  <c r="BJ12" i="1"/>
  <c r="BG13" i="1"/>
  <c r="BJ13" i="1"/>
  <c r="BJ14" i="1"/>
  <c r="BG15" i="1"/>
  <c r="BJ15" i="1"/>
  <c r="BG16" i="1"/>
  <c r="BJ16" i="1"/>
  <c r="BG17" i="1"/>
  <c r="BJ17" i="1"/>
  <c r="BJ18" i="1"/>
  <c r="BJ20" i="1"/>
  <c r="BG21" i="1"/>
  <c r="BJ22" i="1"/>
  <c r="BG23" i="1"/>
  <c r="BJ23" i="1"/>
  <c r="BG24" i="1"/>
  <c r="BJ24" i="1"/>
  <c r="BG25" i="1"/>
  <c r="BJ25" i="1"/>
  <c r="BJ28" i="1"/>
  <c r="BG29" i="1"/>
  <c r="BJ29" i="1"/>
  <c r="BJ30" i="1"/>
  <c r="BG31" i="1"/>
  <c r="BJ31" i="1"/>
  <c r="BG32" i="1"/>
  <c r="BJ32" i="1"/>
  <c r="BG33" i="1"/>
  <c r="BJ33" i="1"/>
  <c r="BJ3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40" i="1"/>
  <c r="AZ35" i="1"/>
  <c r="BA5" i="1"/>
  <c r="BA9" i="1"/>
  <c r="BA12" i="1"/>
  <c r="BA13" i="1"/>
  <c r="BA17" i="1"/>
  <c r="BA20" i="1"/>
  <c r="BA21" i="1"/>
  <c r="BA25" i="1"/>
  <c r="BA28" i="1"/>
  <c r="BA29" i="1"/>
  <c r="BA33" i="1"/>
  <c r="BA32" i="1"/>
  <c r="BA34" i="1"/>
  <c r="AY35" i="1"/>
  <c r="BA6" i="1"/>
  <c r="BA7" i="1"/>
  <c r="BA8" i="1"/>
  <c r="BA10" i="1"/>
  <c r="BA11" i="1"/>
  <c r="BA14" i="1"/>
  <c r="BA15" i="1"/>
  <c r="BA16" i="1"/>
  <c r="BA18" i="1"/>
  <c r="BA19" i="1"/>
  <c r="BA22" i="1"/>
  <c r="BA23" i="1"/>
  <c r="BA24" i="1"/>
  <c r="BA26" i="1"/>
  <c r="BA27" i="1"/>
  <c r="BA30" i="1"/>
  <c r="BA31" i="1"/>
  <c r="AW72" i="1"/>
  <c r="AV72" i="1"/>
  <c r="AX41" i="1"/>
  <c r="AX46" i="1"/>
  <c r="AX47" i="1"/>
  <c r="AX48" i="1"/>
  <c r="AX49" i="1"/>
  <c r="AX54" i="1"/>
  <c r="AX55" i="1"/>
  <c r="AX56" i="1"/>
  <c r="AX57" i="1"/>
  <c r="AX62" i="1"/>
  <c r="AX63" i="1"/>
  <c r="AX64" i="1"/>
  <c r="AX65" i="1"/>
  <c r="AX71" i="1"/>
  <c r="AX42" i="1"/>
  <c r="AX43" i="1"/>
  <c r="AX44" i="1"/>
  <c r="AX45" i="1"/>
  <c r="AX50" i="1"/>
  <c r="AX51" i="1"/>
  <c r="AX52" i="1"/>
  <c r="AX53" i="1"/>
  <c r="AX58" i="1"/>
  <c r="AX59" i="1"/>
  <c r="AX60" i="1"/>
  <c r="AX61" i="1"/>
  <c r="AX66" i="1"/>
  <c r="AX67" i="1"/>
  <c r="AX68" i="1"/>
  <c r="AX70" i="1"/>
  <c r="AX40" i="1"/>
  <c r="AX6" i="1"/>
  <c r="AX7" i="1"/>
  <c r="AX9" i="1"/>
  <c r="AX10" i="1"/>
  <c r="AX11" i="1"/>
  <c r="AX14" i="1"/>
  <c r="AX15" i="1"/>
  <c r="AX17" i="1"/>
  <c r="AX18" i="1"/>
  <c r="AX19" i="1"/>
  <c r="AX22" i="1"/>
  <c r="AX23" i="1"/>
  <c r="AX25" i="1"/>
  <c r="AX26" i="1"/>
  <c r="AX27" i="1"/>
  <c r="AX30" i="1"/>
  <c r="AX31" i="1"/>
  <c r="AX34" i="1"/>
  <c r="AW35" i="1"/>
  <c r="AX4" i="1"/>
  <c r="AX5" i="1"/>
  <c r="AX8" i="1"/>
  <c r="AX12" i="1"/>
  <c r="AX13" i="1"/>
  <c r="AX16" i="1"/>
  <c r="AX20" i="1"/>
  <c r="AX21" i="1"/>
  <c r="AX24" i="1"/>
  <c r="AX28" i="1"/>
  <c r="AX29" i="1"/>
  <c r="AX33" i="1"/>
  <c r="AV35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70" i="1"/>
  <c r="AU71" i="1"/>
  <c r="AU40" i="1"/>
  <c r="AS72" i="1"/>
  <c r="AT72" i="1"/>
  <c r="AU9" i="1"/>
  <c r="AU10" i="1"/>
  <c r="AU11" i="1"/>
  <c r="AU16" i="1"/>
  <c r="AU19" i="1"/>
  <c r="AU25" i="1"/>
  <c r="AU26" i="1"/>
  <c r="AU27" i="1"/>
  <c r="AU34" i="1"/>
  <c r="AU3" i="1"/>
  <c r="AU5" i="1"/>
  <c r="AU6" i="1"/>
  <c r="AU7" i="1"/>
  <c r="AU17" i="1"/>
  <c r="AU18" i="1"/>
  <c r="AU4" i="1"/>
  <c r="AU8" i="1"/>
  <c r="AU12" i="1"/>
  <c r="AU13" i="1"/>
  <c r="AU14" i="1"/>
  <c r="AU15" i="1"/>
  <c r="AU20" i="1"/>
  <c r="AU21" i="1"/>
  <c r="AU22" i="1"/>
  <c r="AU23" i="1"/>
  <c r="AU24" i="1"/>
  <c r="AU28" i="1"/>
  <c r="AU29" i="1"/>
  <c r="AU30" i="1"/>
  <c r="AU31" i="1"/>
  <c r="AU33" i="1"/>
  <c r="AQ72" i="1"/>
  <c r="AP72" i="1"/>
  <c r="AR46" i="1"/>
  <c r="AR48" i="1"/>
  <c r="AR54" i="1"/>
  <c r="AR56" i="1"/>
  <c r="AR58" i="1"/>
  <c r="AR60" i="1"/>
  <c r="AR62" i="1"/>
  <c r="AR64" i="1"/>
  <c r="AR66" i="1"/>
  <c r="AR68" i="1"/>
  <c r="AR71" i="1"/>
  <c r="AR41" i="1"/>
  <c r="AR42" i="1"/>
  <c r="AR43" i="1"/>
  <c r="AR44" i="1"/>
  <c r="AR45" i="1"/>
  <c r="AR47" i="1"/>
  <c r="AR49" i="1"/>
  <c r="AR50" i="1"/>
  <c r="AR51" i="1"/>
  <c r="AR52" i="1"/>
  <c r="AR53" i="1"/>
  <c r="AR55" i="1"/>
  <c r="AR57" i="1"/>
  <c r="AR59" i="1"/>
  <c r="AR61" i="1"/>
  <c r="AR63" i="1"/>
  <c r="AR65" i="1"/>
  <c r="AR67" i="1"/>
  <c r="AR70" i="1"/>
  <c r="AR40" i="1"/>
  <c r="AR10" i="1"/>
  <c r="AR11" i="1"/>
  <c r="AR18" i="1"/>
  <c r="AR19" i="1"/>
  <c r="AR27" i="1"/>
  <c r="AR3" i="1"/>
  <c r="AQ35" i="1"/>
  <c r="AR4" i="1"/>
  <c r="AR5" i="1"/>
  <c r="AR6" i="1"/>
  <c r="AR7" i="1"/>
  <c r="AR8" i="1"/>
  <c r="AR9" i="1"/>
  <c r="AR12" i="1"/>
  <c r="AR13" i="1"/>
  <c r="AR14" i="1"/>
  <c r="AR15" i="1"/>
  <c r="AR16" i="1"/>
  <c r="AR17" i="1"/>
  <c r="AR20" i="1"/>
  <c r="AR21" i="1"/>
  <c r="AR22" i="1"/>
  <c r="AR23" i="1"/>
  <c r="AR24" i="1"/>
  <c r="AR25" i="1"/>
  <c r="AR26" i="1"/>
  <c r="AR28" i="1"/>
  <c r="AR29" i="1"/>
  <c r="AR30" i="1"/>
  <c r="AR31" i="1"/>
  <c r="AR33" i="1"/>
  <c r="AR34" i="1"/>
  <c r="AO41" i="1"/>
  <c r="AO42" i="1"/>
  <c r="AO43" i="1"/>
  <c r="AO46" i="1"/>
  <c r="AO49" i="1"/>
  <c r="AO50" i="1"/>
  <c r="AO51" i="1"/>
  <c r="AO54" i="1"/>
  <c r="AO57" i="1"/>
  <c r="AO58" i="1"/>
  <c r="AO59" i="1"/>
  <c r="AO62" i="1"/>
  <c r="AO65" i="1"/>
  <c r="AO66" i="1"/>
  <c r="AO67" i="1"/>
  <c r="AO71" i="1"/>
  <c r="AO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70" i="1"/>
  <c r="AI71" i="1"/>
  <c r="AN72" i="1"/>
  <c r="AK72" i="1"/>
  <c r="AJ72" i="1"/>
  <c r="AL41" i="1"/>
  <c r="AL42" i="1"/>
  <c r="AL43" i="1"/>
  <c r="AL44" i="1"/>
  <c r="AO44" i="1"/>
  <c r="AL45" i="1"/>
  <c r="AO45" i="1"/>
  <c r="AL46" i="1"/>
  <c r="AL47" i="1"/>
  <c r="AO47" i="1"/>
  <c r="AL48" i="1"/>
  <c r="AO48" i="1"/>
  <c r="AL49" i="1"/>
  <c r="AL50" i="1"/>
  <c r="AL51" i="1"/>
  <c r="AL52" i="1"/>
  <c r="AO52" i="1"/>
  <c r="AL53" i="1"/>
  <c r="AO53" i="1"/>
  <c r="AL54" i="1"/>
  <c r="AL55" i="1"/>
  <c r="AO55" i="1"/>
  <c r="AL56" i="1"/>
  <c r="AO56" i="1"/>
  <c r="AL57" i="1"/>
  <c r="AL58" i="1"/>
  <c r="AL59" i="1"/>
  <c r="AL60" i="1"/>
  <c r="AO60" i="1"/>
  <c r="AL61" i="1"/>
  <c r="AO61" i="1"/>
  <c r="AL62" i="1"/>
  <c r="AL63" i="1"/>
  <c r="AO63" i="1"/>
  <c r="AL64" i="1"/>
  <c r="AO64" i="1"/>
  <c r="AL65" i="1"/>
  <c r="AL66" i="1"/>
  <c r="AL67" i="1"/>
  <c r="AL68" i="1"/>
  <c r="AO68" i="1"/>
  <c r="AL70" i="1"/>
  <c r="AO70" i="1"/>
  <c r="AL71" i="1"/>
  <c r="AO11" i="1"/>
  <c r="AO19" i="1"/>
  <c r="AO27" i="1"/>
  <c r="AN35" i="1"/>
  <c r="AK35" i="1"/>
  <c r="AL6" i="1"/>
  <c r="AL11" i="1"/>
  <c r="AL12" i="1"/>
  <c r="AL19" i="1"/>
  <c r="AL20" i="1"/>
  <c r="AL27" i="1"/>
  <c r="AL28" i="1"/>
  <c r="AL34" i="1"/>
  <c r="AI8" i="1"/>
  <c r="AI9" i="1"/>
  <c r="AI16" i="1"/>
  <c r="AI17" i="1"/>
  <c r="AI25" i="1"/>
  <c r="AI34" i="1"/>
  <c r="AH35" i="1"/>
  <c r="AO10" i="1"/>
  <c r="AO26" i="1"/>
  <c r="AJ35" i="1"/>
  <c r="AG35" i="1"/>
  <c r="AI4" i="1"/>
  <c r="AI6" i="1"/>
  <c r="AI10" i="1"/>
  <c r="AI11" i="1"/>
  <c r="AI12" i="1"/>
  <c r="AI13" i="1"/>
  <c r="AI14" i="1"/>
  <c r="AI18" i="1"/>
  <c r="AI19" i="1"/>
  <c r="AI20" i="1"/>
  <c r="AI21" i="1"/>
  <c r="AI22" i="1"/>
  <c r="AI26" i="1"/>
  <c r="AI27" i="1"/>
  <c r="AI28" i="1"/>
  <c r="AI29" i="1"/>
  <c r="AI30" i="1"/>
  <c r="AI3" i="1"/>
  <c r="AL40" i="1"/>
  <c r="AO4" i="1"/>
  <c r="AI5" i="1"/>
  <c r="AL5" i="1"/>
  <c r="AO5" i="1"/>
  <c r="AO6" i="1"/>
  <c r="AI7" i="1"/>
  <c r="AL7" i="1"/>
  <c r="AO7" i="1"/>
  <c r="AL8" i="1"/>
  <c r="AO8" i="1"/>
  <c r="AL9" i="1"/>
  <c r="AO9" i="1"/>
  <c r="AL10" i="1"/>
  <c r="AO12" i="1"/>
  <c r="AL13" i="1"/>
  <c r="AO13" i="1"/>
  <c r="AL14" i="1"/>
  <c r="AO14" i="1"/>
  <c r="AI15" i="1"/>
  <c r="AL15" i="1"/>
  <c r="AO15" i="1"/>
  <c r="AL16" i="1"/>
  <c r="AO16" i="1"/>
  <c r="AL17" i="1"/>
  <c r="AO17" i="1"/>
  <c r="AL18" i="1"/>
  <c r="AO18" i="1"/>
  <c r="AO20" i="1"/>
  <c r="AL21" i="1"/>
  <c r="AO21" i="1"/>
  <c r="AL22" i="1"/>
  <c r="AO22" i="1"/>
  <c r="AI23" i="1"/>
  <c r="AL23" i="1"/>
  <c r="AO23" i="1"/>
  <c r="AI24" i="1"/>
  <c r="AL24" i="1"/>
  <c r="AO24" i="1"/>
  <c r="AL25" i="1"/>
  <c r="AO25" i="1"/>
  <c r="AL26" i="1"/>
  <c r="AO28" i="1"/>
  <c r="AL29" i="1"/>
  <c r="AO29" i="1"/>
  <c r="AL30" i="1"/>
  <c r="AO30" i="1"/>
  <c r="AI31" i="1"/>
  <c r="AL31" i="1"/>
  <c r="AO31" i="1"/>
  <c r="AI33" i="1"/>
  <c r="AL33" i="1"/>
  <c r="AO33" i="1"/>
  <c r="AO34" i="1"/>
  <c r="AL3" i="1"/>
  <c r="AD72" i="1"/>
  <c r="AF8" i="1"/>
  <c r="AF9" i="1"/>
  <c r="AF10" i="1"/>
  <c r="AF11" i="1"/>
  <c r="AF15" i="1"/>
  <c r="AF16" i="1"/>
  <c r="AF17" i="1"/>
  <c r="AF18" i="1"/>
  <c r="AF19" i="1"/>
  <c r="AF23" i="1"/>
  <c r="AF24" i="1"/>
  <c r="AF33" i="1"/>
  <c r="AF34" i="1"/>
  <c r="AF3" i="1"/>
  <c r="AF7" i="1"/>
  <c r="AF21" i="1"/>
  <c r="AF22" i="1"/>
  <c r="AF25" i="1"/>
  <c r="AF26" i="1"/>
  <c r="AF27" i="1"/>
  <c r="AE72" i="1"/>
  <c r="AD35" i="1"/>
  <c r="AF4" i="1"/>
  <c r="AF5" i="1"/>
  <c r="AF6" i="1"/>
  <c r="AF12" i="1"/>
  <c r="AF13" i="1"/>
  <c r="AF14" i="1"/>
  <c r="AF20" i="1"/>
  <c r="AF28" i="1"/>
  <c r="AF29" i="1"/>
  <c r="AF30" i="1"/>
  <c r="AF31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70" i="1"/>
  <c r="Z71" i="1"/>
  <c r="AC41" i="1"/>
  <c r="AF41" i="1" s="1"/>
  <c r="AC42" i="1"/>
  <c r="AF42" i="1" s="1"/>
  <c r="AC43" i="1"/>
  <c r="AF43" i="1" s="1"/>
  <c r="AC44" i="1"/>
  <c r="AF44" i="1" s="1"/>
  <c r="AC45" i="1"/>
  <c r="AF45" i="1" s="1"/>
  <c r="AC46" i="1"/>
  <c r="AF46" i="1" s="1"/>
  <c r="AC47" i="1"/>
  <c r="AF47" i="1" s="1"/>
  <c r="AC48" i="1"/>
  <c r="AF48" i="1" s="1"/>
  <c r="AC49" i="1"/>
  <c r="AF49" i="1" s="1"/>
  <c r="AC50" i="1"/>
  <c r="AF50" i="1" s="1"/>
  <c r="AC51" i="1"/>
  <c r="AF51" i="1" s="1"/>
  <c r="AC52" i="1"/>
  <c r="AF52" i="1" s="1"/>
  <c r="AC53" i="1"/>
  <c r="AF53" i="1" s="1"/>
  <c r="AC54" i="1"/>
  <c r="AF54" i="1" s="1"/>
  <c r="AC55" i="1"/>
  <c r="AF55" i="1" s="1"/>
  <c r="AC56" i="1"/>
  <c r="AF56" i="1" s="1"/>
  <c r="AC57" i="1"/>
  <c r="AF57" i="1" s="1"/>
  <c r="AC58" i="1"/>
  <c r="AF58" i="1" s="1"/>
  <c r="AC59" i="1"/>
  <c r="AF59" i="1" s="1"/>
  <c r="AC60" i="1"/>
  <c r="AF60" i="1" s="1"/>
  <c r="AC61" i="1"/>
  <c r="AF61" i="1" s="1"/>
  <c r="AC62" i="1"/>
  <c r="AF62" i="1" s="1"/>
  <c r="AC63" i="1"/>
  <c r="AF63" i="1" s="1"/>
  <c r="AC64" i="1"/>
  <c r="AF64" i="1" s="1"/>
  <c r="AC65" i="1"/>
  <c r="AF65" i="1" s="1"/>
  <c r="AC66" i="1"/>
  <c r="AF66" i="1" s="1"/>
  <c r="AC67" i="1"/>
  <c r="AF67" i="1" s="1"/>
  <c r="AC68" i="1"/>
  <c r="AF68" i="1" s="1"/>
  <c r="AC70" i="1"/>
  <c r="AF70" i="1" s="1"/>
  <c r="AC71" i="1"/>
  <c r="AF71" i="1" s="1"/>
  <c r="AC40" i="1"/>
  <c r="AF40" i="1" s="1"/>
  <c r="AB72" i="1"/>
  <c r="AA72" i="1"/>
  <c r="Y72" i="1"/>
  <c r="Z4" i="1"/>
  <c r="Z5" i="1"/>
  <c r="Z6" i="1"/>
  <c r="Z7" i="1"/>
  <c r="Z8" i="1"/>
  <c r="Z9" i="1"/>
  <c r="Z10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3" i="1"/>
  <c r="Z34" i="1"/>
  <c r="AB35" i="1"/>
  <c r="AA35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3" i="1"/>
  <c r="AC34" i="1"/>
  <c r="AC3" i="1"/>
  <c r="W67" i="1"/>
  <c r="W40" i="1"/>
  <c r="V72" i="1"/>
  <c r="W10" i="1"/>
  <c r="W11" i="1"/>
  <c r="W12" i="1"/>
  <c r="W18" i="1"/>
  <c r="W19" i="1"/>
  <c r="W20" i="1"/>
  <c r="W26" i="1"/>
  <c r="W27" i="1"/>
  <c r="V35" i="1"/>
  <c r="W4" i="1"/>
  <c r="W5" i="1"/>
  <c r="W7" i="1"/>
  <c r="W8" i="1"/>
  <c r="W13" i="1"/>
  <c r="W15" i="1"/>
  <c r="W16" i="1"/>
  <c r="W21" i="1"/>
  <c r="W23" i="1"/>
  <c r="W24" i="1"/>
  <c r="W28" i="1"/>
  <c r="W29" i="1"/>
  <c r="W31" i="1"/>
  <c r="W33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8" i="1"/>
  <c r="W70" i="1"/>
  <c r="W71" i="1"/>
  <c r="W6" i="1"/>
  <c r="W9" i="1"/>
  <c r="W14" i="1"/>
  <c r="W17" i="1"/>
  <c r="W22" i="1"/>
  <c r="W25" i="1"/>
  <c r="W30" i="1"/>
  <c r="W34" i="1"/>
  <c r="S72" i="1"/>
  <c r="R72" i="1"/>
  <c r="P72" i="1"/>
  <c r="O72" i="1"/>
  <c r="M72" i="1"/>
  <c r="L72" i="1"/>
  <c r="T41" i="1"/>
  <c r="T42" i="1"/>
  <c r="T43" i="1"/>
  <c r="T48" i="1"/>
  <c r="T49" i="1"/>
  <c r="T50" i="1"/>
  <c r="T51" i="1"/>
  <c r="T56" i="1"/>
  <c r="T57" i="1"/>
  <c r="T58" i="1"/>
  <c r="T65" i="1"/>
  <c r="T67" i="1"/>
  <c r="T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6" i="1"/>
  <c r="N57" i="1"/>
  <c r="N58" i="1"/>
  <c r="N59" i="1"/>
  <c r="N60" i="1"/>
  <c r="N61" i="1"/>
  <c r="N62" i="1"/>
  <c r="N64" i="1"/>
  <c r="N65" i="1"/>
  <c r="N66" i="1"/>
  <c r="N67" i="1"/>
  <c r="N68" i="1"/>
  <c r="N70" i="1"/>
  <c r="N71" i="1"/>
  <c r="N40" i="1"/>
  <c r="Q41" i="1"/>
  <c r="Q42" i="1"/>
  <c r="Q43" i="1"/>
  <c r="Q44" i="1"/>
  <c r="T44" i="1"/>
  <c r="Q45" i="1"/>
  <c r="T45" i="1"/>
  <c r="Q46" i="1"/>
  <c r="T46" i="1"/>
  <c r="Q47" i="1"/>
  <c r="T47" i="1"/>
  <c r="Q48" i="1"/>
  <c r="Q49" i="1"/>
  <c r="Q50" i="1"/>
  <c r="Q51" i="1"/>
  <c r="Q52" i="1"/>
  <c r="T52" i="1"/>
  <c r="Q53" i="1"/>
  <c r="T53" i="1"/>
  <c r="Q54" i="1"/>
  <c r="T54" i="1"/>
  <c r="N55" i="1"/>
  <c r="Q55" i="1"/>
  <c r="T55" i="1"/>
  <c r="Q56" i="1"/>
  <c r="Q57" i="1"/>
  <c r="Q58" i="1"/>
  <c r="Q59" i="1"/>
  <c r="T59" i="1"/>
  <c r="Q60" i="1"/>
  <c r="T60" i="1"/>
  <c r="Q61" i="1"/>
  <c r="T61" i="1"/>
  <c r="Q62" i="1"/>
  <c r="T62" i="1"/>
  <c r="N63" i="1"/>
  <c r="Q63" i="1"/>
  <c r="T63" i="1"/>
  <c r="Q64" i="1"/>
  <c r="T64" i="1"/>
  <c r="Q65" i="1"/>
  <c r="Q66" i="1"/>
  <c r="T66" i="1"/>
  <c r="Q67" i="1"/>
  <c r="Q68" i="1"/>
  <c r="T68" i="1"/>
  <c r="Q70" i="1"/>
  <c r="T70" i="1"/>
  <c r="Q71" i="1"/>
  <c r="T71" i="1"/>
  <c r="Q40" i="1"/>
  <c r="N28" i="1"/>
  <c r="S35" i="1"/>
  <c r="R35" i="1"/>
  <c r="P35" i="1"/>
  <c r="O35" i="1"/>
  <c r="M35" i="1"/>
  <c r="L35" i="1"/>
  <c r="T11" i="1"/>
  <c r="T19" i="1"/>
  <c r="T27" i="1"/>
  <c r="T3" i="1"/>
  <c r="Q11" i="1"/>
  <c r="Q19" i="1"/>
  <c r="Q27" i="1"/>
  <c r="Q3" i="1"/>
  <c r="N4" i="1"/>
  <c r="N5" i="1"/>
  <c r="N12" i="1"/>
  <c r="N13" i="1"/>
  <c r="N16" i="1"/>
  <c r="N17" i="1"/>
  <c r="N21" i="1"/>
  <c r="N25" i="1"/>
  <c r="N3" i="1"/>
  <c r="T4" i="1"/>
  <c r="T5" i="1"/>
  <c r="T9" i="1"/>
  <c r="T12" i="1"/>
  <c r="T13" i="1"/>
  <c r="T17" i="1"/>
  <c r="T20" i="1"/>
  <c r="T21" i="1"/>
  <c r="T24" i="1"/>
  <c r="T28" i="1"/>
  <c r="N6" i="1"/>
  <c r="N7" i="1"/>
  <c r="N8" i="1"/>
  <c r="N9" i="1"/>
  <c r="N11" i="1"/>
  <c r="N14" i="1"/>
  <c r="N15" i="1"/>
  <c r="N19" i="1"/>
  <c r="N20" i="1"/>
  <c r="N22" i="1"/>
  <c r="N23" i="1"/>
  <c r="N24" i="1"/>
  <c r="N27" i="1"/>
  <c r="N29" i="1"/>
  <c r="N30" i="1"/>
  <c r="N31" i="1"/>
  <c r="N33" i="1"/>
  <c r="N34" i="1"/>
  <c r="Q4" i="1"/>
  <c r="Q5" i="1"/>
  <c r="Q6" i="1"/>
  <c r="T6" i="1"/>
  <c r="Q7" i="1"/>
  <c r="T7" i="1"/>
  <c r="Q8" i="1"/>
  <c r="T8" i="1"/>
  <c r="Q9" i="1"/>
  <c r="N10" i="1"/>
  <c r="Q10" i="1"/>
  <c r="T10" i="1"/>
  <c r="Q12" i="1"/>
  <c r="Q13" i="1"/>
  <c r="Q14" i="1"/>
  <c r="T14" i="1"/>
  <c r="Q15" i="1"/>
  <c r="T15" i="1"/>
  <c r="Q16" i="1"/>
  <c r="T16" i="1"/>
  <c r="Q17" i="1"/>
  <c r="N18" i="1"/>
  <c r="Q18" i="1"/>
  <c r="T18" i="1"/>
  <c r="Q20" i="1"/>
  <c r="Q21" i="1"/>
  <c r="Q22" i="1"/>
  <c r="T22" i="1"/>
  <c r="Q23" i="1"/>
  <c r="T23" i="1"/>
  <c r="Q24" i="1"/>
  <c r="Q25" i="1"/>
  <c r="T25" i="1"/>
  <c r="N26" i="1"/>
  <c r="Q26" i="1"/>
  <c r="T26" i="1"/>
  <c r="Q28" i="1"/>
  <c r="Q29" i="1"/>
  <c r="T29" i="1"/>
  <c r="Q30" i="1"/>
  <c r="T30" i="1"/>
  <c r="Q31" i="1"/>
  <c r="T31" i="1"/>
  <c r="Q33" i="1"/>
  <c r="T33" i="1"/>
  <c r="Q34" i="1"/>
  <c r="T34" i="1"/>
  <c r="K42" i="1"/>
  <c r="K46" i="1"/>
  <c r="K48" i="1"/>
  <c r="K50" i="1"/>
  <c r="K54" i="1"/>
  <c r="K56" i="1"/>
  <c r="K58" i="1"/>
  <c r="K62" i="1"/>
  <c r="K64" i="1"/>
  <c r="K66" i="1"/>
  <c r="K71" i="1"/>
  <c r="I72" i="1"/>
  <c r="J72" i="1"/>
  <c r="J35" i="1"/>
  <c r="I35" i="1"/>
  <c r="K9" i="1"/>
  <c r="K10" i="1"/>
  <c r="K11" i="1"/>
  <c r="K17" i="1"/>
  <c r="K18" i="1"/>
  <c r="K19" i="1"/>
  <c r="K25" i="1"/>
  <c r="K26" i="1"/>
  <c r="K27" i="1"/>
  <c r="K34" i="1"/>
  <c r="K3" i="1"/>
  <c r="K41" i="1"/>
  <c r="K43" i="1"/>
  <c r="K44" i="1"/>
  <c r="K45" i="1"/>
  <c r="K47" i="1"/>
  <c r="K49" i="1"/>
  <c r="K51" i="1"/>
  <c r="K52" i="1"/>
  <c r="K53" i="1"/>
  <c r="K55" i="1"/>
  <c r="K57" i="1"/>
  <c r="K59" i="1"/>
  <c r="K60" i="1"/>
  <c r="K61" i="1"/>
  <c r="K63" i="1"/>
  <c r="K65" i="1"/>
  <c r="K67" i="1"/>
  <c r="K68" i="1"/>
  <c r="K70" i="1"/>
  <c r="K4" i="1"/>
  <c r="K5" i="1"/>
  <c r="K6" i="1"/>
  <c r="K7" i="1"/>
  <c r="K8" i="1"/>
  <c r="K12" i="1"/>
  <c r="K13" i="1"/>
  <c r="K14" i="1"/>
  <c r="K15" i="1"/>
  <c r="K16" i="1"/>
  <c r="K20" i="1"/>
  <c r="K21" i="1"/>
  <c r="K22" i="1"/>
  <c r="K23" i="1"/>
  <c r="K24" i="1"/>
  <c r="K28" i="1"/>
  <c r="K29" i="1"/>
  <c r="K30" i="1"/>
  <c r="K31" i="1"/>
  <c r="K33" i="1"/>
  <c r="H3" i="1"/>
  <c r="CT72" i="1" l="1"/>
  <c r="CT77" i="1" s="1"/>
  <c r="CT3" i="1"/>
  <c r="CT35" i="1" s="1"/>
  <c r="CT76" i="1" s="1"/>
  <c r="CW32" i="1"/>
  <c r="CQ72" i="1"/>
  <c r="CQ77" i="1" s="1"/>
  <c r="CO72" i="1"/>
  <c r="CQ3" i="1"/>
  <c r="CQ35" i="1" s="1"/>
  <c r="CQ76" i="1" s="1"/>
  <c r="CN72" i="1"/>
  <c r="CN77" i="1" s="1"/>
  <c r="CN35" i="1"/>
  <c r="CN76" i="1" s="1"/>
  <c r="CL35" i="1"/>
  <c r="CK72" i="1"/>
  <c r="CK77" i="1" s="1"/>
  <c r="CK3" i="1"/>
  <c r="CK35" i="1" s="1"/>
  <c r="CK76" i="1" s="1"/>
  <c r="CH35" i="1"/>
  <c r="CH76" i="1" s="1"/>
  <c r="CH72" i="1"/>
  <c r="CH77" i="1" s="1"/>
  <c r="CC72" i="1"/>
  <c r="CE40" i="1"/>
  <c r="CE72" i="1" s="1"/>
  <c r="CE77" i="1" s="1"/>
  <c r="BX72" i="1"/>
  <c r="BY40" i="1"/>
  <c r="BY72" i="1" s="1"/>
  <c r="BY77" i="1" s="1"/>
  <c r="BW72" i="1"/>
  <c r="CE3" i="1"/>
  <c r="BY5" i="1"/>
  <c r="BY35" i="1" s="1"/>
  <c r="BY76" i="1" s="1"/>
  <c r="CA35" i="1"/>
  <c r="BZ35" i="1"/>
  <c r="CB3" i="1"/>
  <c r="CB35" i="1" s="1"/>
  <c r="CB76" i="1" s="1"/>
  <c r="CB72" i="1"/>
  <c r="CB77" i="1" s="1"/>
  <c r="BT72" i="1"/>
  <c r="BV35" i="1"/>
  <c r="BV76" i="1" s="1"/>
  <c r="BT35" i="1"/>
  <c r="BV72" i="1"/>
  <c r="BV77" i="1" s="1"/>
  <c r="BS72" i="1"/>
  <c r="BS77" i="1" s="1"/>
  <c r="BS3" i="1"/>
  <c r="BS35" i="1" s="1"/>
  <c r="BS76" i="1" s="1"/>
  <c r="BQ35" i="1"/>
  <c r="BP72" i="1"/>
  <c r="BP77" i="1" s="1"/>
  <c r="BN35" i="1"/>
  <c r="BP3" i="1"/>
  <c r="BP35" i="1" s="1"/>
  <c r="BP76" i="1" s="1"/>
  <c r="BM72" i="1"/>
  <c r="BM77" i="1" s="1"/>
  <c r="BM35" i="1"/>
  <c r="BM76" i="1" s="1"/>
  <c r="BC72" i="1"/>
  <c r="BB72" i="1"/>
  <c r="BD40" i="1"/>
  <c r="BD72" i="1" s="1"/>
  <c r="BD77" i="1" s="1"/>
  <c r="BF35" i="1"/>
  <c r="BC35" i="1"/>
  <c r="BB35" i="1"/>
  <c r="BD3" i="1"/>
  <c r="BD35" i="1" s="1"/>
  <c r="BD76" i="1" s="1"/>
  <c r="BG72" i="1"/>
  <c r="BG77" i="1" s="1"/>
  <c r="BG35" i="1"/>
  <c r="BG76" i="1" s="1"/>
  <c r="BJ35" i="1"/>
  <c r="BJ76" i="1" s="1"/>
  <c r="BJ72" i="1"/>
  <c r="BJ77" i="1" s="1"/>
  <c r="BA72" i="1"/>
  <c r="BA77" i="1" s="1"/>
  <c r="BA4" i="1"/>
  <c r="BA3" i="1"/>
  <c r="AX72" i="1"/>
  <c r="AX77" i="1" s="1"/>
  <c r="AX3" i="1"/>
  <c r="AX35" i="1" s="1"/>
  <c r="AX76" i="1" s="1"/>
  <c r="AU72" i="1"/>
  <c r="AU77" i="1" s="1"/>
  <c r="AT35" i="1"/>
  <c r="AS35" i="1"/>
  <c r="AU35" i="1"/>
  <c r="AU76" i="1" s="1"/>
  <c r="AR72" i="1"/>
  <c r="AR77" i="1" s="1"/>
  <c r="AP35" i="1"/>
  <c r="AR35" i="1"/>
  <c r="AR76" i="1" s="1"/>
  <c r="AM72" i="1"/>
  <c r="AL72" i="1"/>
  <c r="AL77" i="1" s="1"/>
  <c r="AH72" i="1"/>
  <c r="AI40" i="1"/>
  <c r="AI72" i="1" s="1"/>
  <c r="AI77" i="1" s="1"/>
  <c r="AG72" i="1"/>
  <c r="AO72" i="1"/>
  <c r="AO77" i="1" s="1"/>
  <c r="AO3" i="1"/>
  <c r="AL4" i="1"/>
  <c r="AL35" i="1" s="1"/>
  <c r="AL76" i="1" s="1"/>
  <c r="AM35" i="1"/>
  <c r="AI35" i="1"/>
  <c r="AI76" i="1" s="1"/>
  <c r="AE35" i="1"/>
  <c r="AF35" i="1"/>
  <c r="AF76" i="1" s="1"/>
  <c r="AF72" i="1"/>
  <c r="AF77" i="1" s="1"/>
  <c r="X72" i="1"/>
  <c r="Z40" i="1"/>
  <c r="Z72" i="1" s="1"/>
  <c r="Z77" i="1" s="1"/>
  <c r="AC72" i="1"/>
  <c r="AC77" i="1" s="1"/>
  <c r="Z11" i="1"/>
  <c r="Y35" i="1"/>
  <c r="Z3" i="1"/>
  <c r="X35" i="1"/>
  <c r="AC35" i="1"/>
  <c r="AC76" i="1" s="1"/>
  <c r="W72" i="1"/>
  <c r="W77" i="1" s="1"/>
  <c r="U72" i="1"/>
  <c r="W3" i="1"/>
  <c r="U35" i="1"/>
  <c r="N72" i="1"/>
  <c r="N77" i="1" s="1"/>
  <c r="Q35" i="1"/>
  <c r="Q76" i="1" s="1"/>
  <c r="N35" i="1"/>
  <c r="N76" i="1" s="1"/>
  <c r="T72" i="1"/>
  <c r="T77" i="1" s="1"/>
  <c r="Q72" i="1"/>
  <c r="Q77" i="1" s="1"/>
  <c r="T35" i="1"/>
  <c r="T76" i="1" s="1"/>
  <c r="K40" i="1"/>
  <c r="K72" i="1" s="1"/>
  <c r="K77" i="1" s="1"/>
  <c r="K35" i="1"/>
  <c r="K76" i="1" s="1"/>
  <c r="H40" i="1"/>
  <c r="CZ4" i="1"/>
  <c r="CZ5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3" i="1"/>
  <c r="CZ34" i="1"/>
  <c r="CZ3" i="1"/>
  <c r="H33" i="1"/>
  <c r="CT78" i="1" l="1"/>
  <c r="CQ78" i="1"/>
  <c r="CN78" i="1"/>
  <c r="CK78" i="1"/>
  <c r="CH78" i="1"/>
  <c r="BY78" i="1"/>
  <c r="CE35" i="1"/>
  <c r="CE76" i="1" s="1"/>
  <c r="CE78" i="1" s="1"/>
  <c r="CB78" i="1"/>
  <c r="BV78" i="1"/>
  <c r="BS78" i="1"/>
  <c r="BP78" i="1"/>
  <c r="BM78" i="1"/>
  <c r="CX32" i="1"/>
  <c r="BJ78" i="1"/>
  <c r="BD78" i="1"/>
  <c r="BG78" i="1"/>
  <c r="BA35" i="1"/>
  <c r="BA76" i="1" s="1"/>
  <c r="BA78" i="1" s="1"/>
  <c r="AX78" i="1"/>
  <c r="AU78" i="1"/>
  <c r="AR78" i="1"/>
  <c r="AL78" i="1"/>
  <c r="AI78" i="1"/>
  <c r="AO35" i="1"/>
  <c r="AO76" i="1" s="1"/>
  <c r="AO78" i="1" s="1"/>
  <c r="AF78" i="1"/>
  <c r="AC78" i="1"/>
  <c r="Z35" i="1"/>
  <c r="Z76" i="1" s="1"/>
  <c r="Z78" i="1" s="1"/>
  <c r="W35" i="1"/>
  <c r="W76" i="1" s="1"/>
  <c r="W78" i="1" s="1"/>
  <c r="N78" i="1"/>
  <c r="Q78" i="1"/>
  <c r="T78" i="1"/>
  <c r="K78" i="1"/>
  <c r="G72" i="1"/>
  <c r="F72" i="1"/>
  <c r="B72" i="1"/>
  <c r="H71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CY35" i="1"/>
  <c r="G35" i="1"/>
  <c r="F35" i="1"/>
  <c r="B35" i="1"/>
  <c r="H34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CU35" i="1" l="1"/>
  <c r="DA34" i="1"/>
  <c r="DA24" i="1"/>
  <c r="DA17" i="1"/>
  <c r="DA25" i="1"/>
  <c r="DA4" i="1"/>
  <c r="DA30" i="1"/>
  <c r="DA12" i="1"/>
  <c r="DA20" i="1"/>
  <c r="CW4" i="1"/>
  <c r="DA28" i="1"/>
  <c r="DA9" i="1"/>
  <c r="CW27" i="1"/>
  <c r="DA14" i="1"/>
  <c r="DA7" i="1"/>
  <c r="DA23" i="1"/>
  <c r="CW29" i="1"/>
  <c r="DA16" i="1"/>
  <c r="CW6" i="1"/>
  <c r="CW31" i="1"/>
  <c r="DA10" i="1"/>
  <c r="CW8" i="1"/>
  <c r="CW25" i="1"/>
  <c r="DA13" i="1"/>
  <c r="DA29" i="1"/>
  <c r="CW19" i="1"/>
  <c r="DA22" i="1"/>
  <c r="DA15" i="1"/>
  <c r="DA31" i="1"/>
  <c r="CW14" i="1"/>
  <c r="CW30" i="1"/>
  <c r="CW7" i="1"/>
  <c r="CW23" i="1"/>
  <c r="DA11" i="1"/>
  <c r="CW10" i="1"/>
  <c r="CW28" i="1"/>
  <c r="CW24" i="1"/>
  <c r="DA18" i="1"/>
  <c r="CW22" i="1"/>
  <c r="CW5" i="1"/>
  <c r="CW13" i="1"/>
  <c r="CW21" i="1"/>
  <c r="CW12" i="1"/>
  <c r="CW20" i="1"/>
  <c r="DA6" i="1"/>
  <c r="CW11" i="1"/>
  <c r="CW26" i="1"/>
  <c r="CW34" i="1"/>
  <c r="CW15" i="1"/>
  <c r="CW9" i="1"/>
  <c r="CW17" i="1"/>
  <c r="CW33" i="1"/>
  <c r="DA26" i="1"/>
  <c r="DA19" i="1"/>
  <c r="CW16" i="1"/>
  <c r="CW18" i="1"/>
  <c r="H72" i="1"/>
  <c r="H77" i="1" s="1"/>
  <c r="H35" i="1"/>
  <c r="H76" i="1" s="1"/>
  <c r="CZ35" i="1"/>
  <c r="DA8" i="1" l="1"/>
  <c r="DA3" i="1"/>
  <c r="CX5" i="1"/>
  <c r="CX13" i="1"/>
  <c r="CX23" i="1"/>
  <c r="CX18" i="1"/>
  <c r="CX15" i="1"/>
  <c r="CX17" i="1"/>
  <c r="CX21" i="1"/>
  <c r="CX7" i="1"/>
  <c r="CX20" i="1"/>
  <c r="CX29" i="1"/>
  <c r="H78" i="1"/>
  <c r="CX25" i="1"/>
  <c r="CX27" i="1"/>
  <c r="CX16" i="1"/>
  <c r="CX19" i="1"/>
  <c r="CX28" i="1"/>
  <c r="CX11" i="1"/>
  <c r="CX9" i="1"/>
  <c r="CX34" i="1"/>
  <c r="DA21" i="1"/>
  <c r="DA5" i="1"/>
  <c r="CX24" i="1"/>
  <c r="CX8" i="1"/>
  <c r="CX10" i="1"/>
  <c r="B83" i="1"/>
  <c r="CX12" i="1"/>
  <c r="CX4" i="1"/>
  <c r="CX31" i="1"/>
  <c r="CX26" i="1"/>
  <c r="CX33" i="1"/>
  <c r="CX22" i="1"/>
  <c r="CX14" i="1"/>
  <c r="CX6" i="1"/>
  <c r="B82" i="1"/>
  <c r="CX30" i="1"/>
  <c r="DA27" i="1"/>
  <c r="CW3" i="1"/>
  <c r="CU72" i="1"/>
  <c r="CV33" i="1" l="1"/>
  <c r="CV32" i="1"/>
  <c r="B84" i="1"/>
  <c r="C83" i="1" s="1"/>
  <c r="CV31" i="1"/>
  <c r="CV26" i="1"/>
  <c r="CV15" i="1"/>
  <c r="CV17" i="1"/>
  <c r="CV9" i="1"/>
  <c r="CV6" i="1"/>
  <c r="CV36" i="1"/>
  <c r="CV20" i="1"/>
  <c r="CV25" i="1"/>
  <c r="CV13" i="1"/>
  <c r="CV3" i="1"/>
  <c r="CV30" i="1"/>
  <c r="CV29" i="1"/>
  <c r="CV18" i="1"/>
  <c r="CV4" i="1"/>
  <c r="CV22" i="1"/>
  <c r="CV23" i="1"/>
  <c r="CV34" i="1"/>
  <c r="CV7" i="1"/>
  <c r="CV28" i="1"/>
  <c r="CV21" i="1"/>
  <c r="CV11" i="1"/>
  <c r="CV19" i="1"/>
  <c r="CV24" i="1"/>
  <c r="CV10" i="1"/>
  <c r="DA35" i="1"/>
  <c r="CV14" i="1"/>
  <c r="CV5" i="1"/>
  <c r="CV8" i="1"/>
  <c r="CV12" i="1"/>
  <c r="CV16" i="1"/>
  <c r="CV27" i="1"/>
  <c r="CW35" i="1"/>
  <c r="CX35" i="1" s="1"/>
  <c r="CX3" i="1"/>
  <c r="CU78" i="1" l="1"/>
  <c r="C82" i="1"/>
  <c r="C84" i="1" s="1"/>
  <c r="CV35" i="1"/>
</calcChain>
</file>

<file path=xl/sharedStrings.xml><?xml version="1.0" encoding="utf-8"?>
<sst xmlns="http://schemas.openxmlformats.org/spreadsheetml/2006/main" count="382" uniqueCount="131">
  <si>
    <t>Category Level</t>
  </si>
  <si>
    <t>Size Ratio Percentage</t>
  </si>
  <si>
    <t>Category</t>
  </si>
  <si>
    <t>Online Style Count</t>
  </si>
  <si>
    <t>Division</t>
  </si>
  <si>
    <t>Larger Size %</t>
  </si>
  <si>
    <t>Smaller Size %</t>
  </si>
  <si>
    <t>Grand Total</t>
  </si>
  <si>
    <t>Share %</t>
  </si>
  <si>
    <t>New Style</t>
  </si>
  <si>
    <t>Total PLA Qty</t>
  </si>
  <si>
    <t>PLA Sale Cont.</t>
  </si>
  <si>
    <t>New Style Listed</t>
  </si>
  <si>
    <t>Sales on New Styles</t>
  </si>
  <si>
    <t>New Styles In Process</t>
  </si>
  <si>
    <t>BALLERINAS</t>
  </si>
  <si>
    <t>FOOTWEAR</t>
  </si>
  <si>
    <t>BOOTS</t>
  </si>
  <si>
    <t>CANVAS SHOES</t>
  </si>
  <si>
    <t>CASUAL SHOES</t>
  </si>
  <si>
    <t>FASHION SANDALS</t>
  </si>
  <si>
    <t>FLIP FLOPS</t>
  </si>
  <si>
    <t>LYCRA SHOES</t>
  </si>
  <si>
    <t>MOULDS</t>
  </si>
  <si>
    <t>SLIDES</t>
  </si>
  <si>
    <t>SPORTS SANDALS</t>
  </si>
  <si>
    <t>SPORTS SHOES</t>
  </si>
  <si>
    <t>BOOTIES</t>
  </si>
  <si>
    <t>DRESS</t>
  </si>
  <si>
    <t>APPAREL</t>
  </si>
  <si>
    <t>DUNGAREE</t>
  </si>
  <si>
    <t>JACKET</t>
  </si>
  <si>
    <t>SHIRT</t>
  </si>
  <si>
    <t>SKIRT</t>
  </si>
  <si>
    <t>SWEATER</t>
  </si>
  <si>
    <t>SWEATSHIRT</t>
  </si>
  <si>
    <t>TOP</t>
  </si>
  <si>
    <t>TROUSERS</t>
  </si>
  <si>
    <t>POLO T-SHIRT</t>
  </si>
  <si>
    <t>T-SHIRT</t>
  </si>
  <si>
    <t>JEANS</t>
  </si>
  <si>
    <t>LOWER</t>
  </si>
  <si>
    <t>JUMPSUIT</t>
  </si>
  <si>
    <t>BERMUDA</t>
  </si>
  <si>
    <t>ROMPER</t>
  </si>
  <si>
    <t>CLOTHING SET</t>
  </si>
  <si>
    <t>JEGGING</t>
  </si>
  <si>
    <t>SHORTS</t>
  </si>
  <si>
    <t>Target Unit</t>
  </si>
  <si>
    <t>New Styles Units</t>
  </si>
  <si>
    <t>Day Level New Style Contribution</t>
  </si>
  <si>
    <t>Total Unit Sold</t>
  </si>
  <si>
    <t>New Style Units sold</t>
  </si>
  <si>
    <t>New Contr.Share (%)</t>
  </si>
  <si>
    <t>Division Level</t>
  </si>
  <si>
    <t>Footwear</t>
  </si>
  <si>
    <t>Apparel</t>
  </si>
  <si>
    <t>Total</t>
  </si>
  <si>
    <t>01-06-2026 PLA</t>
  </si>
  <si>
    <t>Wednesday</t>
  </si>
  <si>
    <t>01-07-2026 PPMP</t>
  </si>
  <si>
    <t>01-07-2026 SJIT</t>
  </si>
  <si>
    <t>Thursday</t>
  </si>
  <si>
    <t>02-07-2026 PPMP</t>
  </si>
  <si>
    <t>02-07-2026 SJIT</t>
  </si>
  <si>
    <t>Friday</t>
  </si>
  <si>
    <t>Saturday</t>
  </si>
  <si>
    <t>Sunday</t>
  </si>
  <si>
    <t>03-07-2026 PPMP</t>
  </si>
  <si>
    <t>03-07-2026 SJIT</t>
  </si>
  <si>
    <t>04-07-2026 PPMP</t>
  </si>
  <si>
    <t>04-07-2026 SJIT</t>
  </si>
  <si>
    <t>05-07-2026 PPMP</t>
  </si>
  <si>
    <t>05-07-2026 SJIT</t>
  </si>
  <si>
    <t>Monday</t>
  </si>
  <si>
    <t>06-07-2026 PPMP</t>
  </si>
  <si>
    <t>06-07-2026 SJIT</t>
  </si>
  <si>
    <t>Tuesday</t>
  </si>
  <si>
    <t>07-07-2026 PPMP</t>
  </si>
  <si>
    <t>07-07-2026 SJIT</t>
  </si>
  <si>
    <t>08-07-2026 PPMP</t>
  </si>
  <si>
    <t>08-07-2026 SJIT</t>
  </si>
  <si>
    <t>x</t>
  </si>
  <si>
    <t>09-07-2026 PPMP</t>
  </si>
  <si>
    <t>09-07-2026 SJIT</t>
  </si>
  <si>
    <t>10-07-2026 PPMP</t>
  </si>
  <si>
    <t>10-07-2026 SJIT</t>
  </si>
  <si>
    <t>11-07-2026 SJIT</t>
  </si>
  <si>
    <t>11-07-2026 PPMP</t>
  </si>
  <si>
    <t>12-07-2026 PPMP</t>
  </si>
  <si>
    <t>12-07-2026 SJIT</t>
  </si>
  <si>
    <t>13-07-2026 PPMP</t>
  </si>
  <si>
    <t>13-07-2026 SJIT</t>
  </si>
  <si>
    <t>14-07-2026 PPMP</t>
  </si>
  <si>
    <t>14-07-2026 SJIT</t>
  </si>
  <si>
    <t>15-07-2026 SJIT</t>
  </si>
  <si>
    <t>15-07-2026 PPMP</t>
  </si>
  <si>
    <t>16-07-2026 PPMP</t>
  </si>
  <si>
    <t>16-07-2026 SJIT</t>
  </si>
  <si>
    <t>CAP</t>
  </si>
  <si>
    <t>ACCESSORIES</t>
  </si>
  <si>
    <t>17-07-2026 PPMP</t>
  </si>
  <si>
    <t>17-07-2026 SJIT</t>
  </si>
  <si>
    <t>18-07-2026 PPMP</t>
  </si>
  <si>
    <t>18-07-2026 SJIT</t>
  </si>
  <si>
    <t>19-07-2026 PPMP</t>
  </si>
  <si>
    <t>19-07-2026 SJIT</t>
  </si>
  <si>
    <t>20-07-2026 PPMP</t>
  </si>
  <si>
    <t>20-07-2026 SJIT</t>
  </si>
  <si>
    <t>21-07-2026 PPMP</t>
  </si>
  <si>
    <t>21-07-2026 SJIT</t>
  </si>
  <si>
    <t>22-07-2026 PPMP</t>
  </si>
  <si>
    <t>22-07-2026 SJIT</t>
  </si>
  <si>
    <t>23-07-2026 PPMP</t>
  </si>
  <si>
    <t>23-07-2026 SJIT</t>
  </si>
  <si>
    <t>24-07-2026 PPMP</t>
  </si>
  <si>
    <t>24-07-2026 SJIT</t>
  </si>
  <si>
    <t>25-07-2026 PPMP</t>
  </si>
  <si>
    <t>25-07-2026 SJIT</t>
  </si>
  <si>
    <t>26-07-2026 PPMP</t>
  </si>
  <si>
    <t>26-07-2026 SJIT</t>
  </si>
  <si>
    <t>27-07-2026 PPMP</t>
  </si>
  <si>
    <t>27-07-2026 SJIT</t>
  </si>
  <si>
    <t>28-07-2026 PPMP</t>
  </si>
  <si>
    <t>28-07-2026 SJIT</t>
  </si>
  <si>
    <t>29-07-2026 PPMP</t>
  </si>
  <si>
    <t>29-07-2026 SJIT</t>
  </si>
  <si>
    <t>30-07-2026 PPMP</t>
  </si>
  <si>
    <t>30-07-2026 SJIT</t>
  </si>
  <si>
    <t>31-07-2026 PPMP</t>
  </si>
  <si>
    <t>31-07-2026 SJIT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</si>
</sst>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14" fontId="4" fillId="5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9" fontId="5" fillId="7" borderId="6" xfId="0" applyNumberFormat="1" applyFont="1" applyFill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9" fontId="3" fillId="4" borderId="5" xfId="0" applyNumberFormat="1" applyFont="1" applyFill="1" applyBorder="1" applyAlignment="1">
      <alignment horizontal="center" vertical="center"/>
    </xf>
    <xf numFmtId="10" fontId="3" fillId="4" borderId="5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0" fontId="3" fillId="4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9" fontId="8" fillId="3" borderId="5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9" fontId="8" fillId="2" borderId="5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9" fontId="8" fillId="5" borderId="5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D84"/>
  <sheetViews>
    <sheetView tabSelected="1" zoomScale="85" zoomScaleNormal="85" workbookViewId="0">
      <pane xSplit="3" ySplit="2" topLeftCell="BV3" activePane="bottomRight" state="frozen"/>
      <selection pane="topRight" activeCell="D1" sqref="D1"/>
      <selection pane="bottomLeft" activeCell="A3" sqref="A3"/>
      <selection pane="bottomRight" activeCell="CU2" sqref="CU2"/>
    </sheetView>
  </sheetViews>
  <sheetFormatPr defaultRowHeight="15" outlineLevelCol="1" x14ac:dyDescent="0.25"/>
  <cols>
    <col min="1" max="1" width="18.42578125" bestFit="1" customWidth="1"/>
    <col min="3" max="3" width="11.7109375" bestFit="1" customWidth="1"/>
    <col min="6" max="6" width="16.28515625" hidden="1" customWidth="1" outlineLevel="1"/>
    <col min="7" max="7" width="16" hidden="1" customWidth="1" outlineLevel="1"/>
    <col min="8" max="8" width="12" bestFit="1" customWidth="1" collapsed="1"/>
    <col min="9" max="9" width="16.28515625" hidden="1" customWidth="1" outlineLevel="1"/>
    <col min="10" max="10" width="14.42578125" hidden="1" customWidth="1" outlineLevel="1"/>
    <col min="11" max="11" width="12" customWidth="1" collapsed="1"/>
    <col min="12" max="12" width="16.28515625" hidden="1" customWidth="1" outlineLevel="1"/>
    <col min="13" max="13" width="14.42578125" hidden="1" customWidth="1" outlineLevel="1"/>
    <col min="14" max="14" width="12" customWidth="1" collapsed="1"/>
    <col min="15" max="15" width="16.28515625" hidden="1" customWidth="1" outlineLevel="1"/>
    <col min="16" max="16" width="14.42578125" hidden="1" customWidth="1" outlineLevel="1"/>
    <col min="17" max="17" width="12" customWidth="1" collapsed="1"/>
    <col min="18" max="18" width="16.28515625" hidden="1" customWidth="1" outlineLevel="1"/>
    <col min="19" max="19" width="14.42578125" hidden="1" customWidth="1" outlineLevel="1"/>
    <col min="20" max="20" width="12" customWidth="1" collapsed="1"/>
    <col min="21" max="21" width="16.28515625" hidden="1" customWidth="1" outlineLevel="1"/>
    <col min="22" max="22" width="14.42578125" hidden="1" customWidth="1" outlineLevel="1"/>
    <col min="23" max="23" width="12" customWidth="1" collapsed="1"/>
    <col min="24" max="24" width="16.28515625" hidden="1" customWidth="1" outlineLevel="1"/>
    <col min="25" max="25" width="14.42578125" hidden="1" customWidth="1" outlineLevel="1"/>
    <col min="26" max="26" width="12" customWidth="1" collapsed="1"/>
    <col min="27" max="27" width="16.28515625" hidden="1" customWidth="1" outlineLevel="1"/>
    <col min="28" max="28" width="14.42578125" hidden="1" customWidth="1" outlineLevel="1"/>
    <col min="29" max="29" width="12" customWidth="1" collapsed="1"/>
    <col min="30" max="30" width="16.28515625" hidden="1" customWidth="1" outlineLevel="1"/>
    <col min="31" max="31" width="14.42578125" hidden="1" customWidth="1" outlineLevel="1"/>
    <col min="32" max="32" width="12" customWidth="1" collapsed="1"/>
    <col min="33" max="33" width="17.140625" hidden="1" customWidth="1" outlineLevel="1"/>
    <col min="34" max="34" width="18.5703125" hidden="1" customWidth="1" outlineLevel="1"/>
    <col min="35" max="35" width="12" customWidth="1" collapsed="1"/>
    <col min="36" max="36" width="16.28515625" hidden="1" customWidth="1" outlineLevel="1"/>
    <col min="37" max="37" width="14.42578125" hidden="1" customWidth="1" outlineLevel="1"/>
    <col min="38" max="38" width="12" customWidth="1" collapsed="1"/>
    <col min="39" max="39" width="16.28515625" hidden="1" customWidth="1" outlineLevel="1"/>
    <col min="40" max="40" width="14.42578125" hidden="1" customWidth="1" outlineLevel="1"/>
    <col min="41" max="41" width="12" customWidth="1" collapsed="1"/>
    <col min="42" max="42" width="16.28515625" hidden="1" customWidth="1" outlineLevel="1"/>
    <col min="43" max="43" width="14.42578125" hidden="1" customWidth="1" outlineLevel="1"/>
    <col min="44" max="44" width="12" customWidth="1" collapsed="1"/>
    <col min="45" max="45" width="16.28515625" hidden="1" customWidth="1" outlineLevel="1"/>
    <col min="46" max="46" width="14.42578125" hidden="1" customWidth="1" outlineLevel="1"/>
    <col min="47" max="47" width="12" customWidth="1" collapsed="1"/>
    <col min="48" max="48" width="16.28515625" hidden="1" customWidth="1" outlineLevel="1"/>
    <col min="49" max="49" width="14.42578125" hidden="1" customWidth="1" outlineLevel="1"/>
    <col min="50" max="50" width="12" customWidth="1" collapsed="1"/>
    <col min="51" max="51" width="16.28515625" hidden="1" customWidth="1" outlineLevel="1"/>
    <col min="52" max="52" width="14.42578125" hidden="1" customWidth="1" outlineLevel="1"/>
    <col min="53" max="53" width="12" customWidth="1" collapsed="1"/>
    <col min="54" max="54" width="16.28515625" hidden="1" customWidth="1" outlineLevel="1"/>
    <col min="55" max="55" width="14.42578125" hidden="1" customWidth="1" outlineLevel="1"/>
    <col min="56" max="56" width="8.5703125" bestFit="1" customWidth="1" collapsed="1"/>
    <col min="57" max="57" width="16.28515625" hidden="1" customWidth="1" outlineLevel="1"/>
    <col min="58" max="58" width="14.42578125" hidden="1" customWidth="1" outlineLevel="1"/>
    <col min="59" max="59" width="12" customWidth="1" collapsed="1"/>
    <col min="60" max="60" width="16.28515625" hidden="1" customWidth="1" outlineLevel="1"/>
    <col min="61" max="61" width="14.42578125" hidden="1" customWidth="1" outlineLevel="1"/>
    <col min="62" max="62" width="12" customWidth="1" collapsed="1"/>
    <col min="63" max="63" width="16.28515625" hidden="1" customWidth="1" outlineLevel="1"/>
    <col min="64" max="64" width="14.42578125" hidden="1" customWidth="1" outlineLevel="1"/>
    <col min="65" max="65" width="12" customWidth="1" collapsed="1"/>
    <col min="66" max="66" width="16.28515625" hidden="1" customWidth="1" outlineLevel="1"/>
    <col min="67" max="67" width="14.42578125" hidden="1" customWidth="1" outlineLevel="1"/>
    <col min="68" max="68" width="12" customWidth="1" collapsed="1"/>
    <col min="69" max="69" width="16.28515625" hidden="1" customWidth="1" outlineLevel="1"/>
    <col min="70" max="70" width="14.42578125" hidden="1" customWidth="1" outlineLevel="1"/>
    <col min="71" max="71" width="12" customWidth="1" collapsed="1"/>
    <col min="72" max="72" width="16.28515625" hidden="1" customWidth="1" outlineLevel="1"/>
    <col min="73" max="73" width="14.42578125" hidden="1" customWidth="1" outlineLevel="1"/>
    <col min="74" max="74" width="12" customWidth="1" collapsed="1"/>
    <col min="75" max="75" width="16.28515625" hidden="1" customWidth="1" outlineLevel="1"/>
    <col min="76" max="76" width="14.42578125" hidden="1" customWidth="1" outlineLevel="1"/>
    <col min="77" max="77" width="12" customWidth="1" collapsed="1"/>
    <col min="78" max="78" width="16.28515625" hidden="1" customWidth="1" outlineLevel="1"/>
    <col min="79" max="79" width="14.42578125" hidden="1" customWidth="1" outlineLevel="1"/>
    <col min="80" max="80" width="12" customWidth="1" collapsed="1"/>
    <col min="81" max="81" width="16.28515625" hidden="1" customWidth="1" outlineLevel="1"/>
    <col min="82" max="82" width="14.42578125" hidden="1" customWidth="1" outlineLevel="1"/>
    <col min="83" max="83" width="12" customWidth="1" collapsed="1"/>
    <col min="84" max="84" width="16.28515625" hidden="1" customWidth="1" outlineLevel="1"/>
    <col min="85" max="85" width="14.42578125" hidden="1" customWidth="1" outlineLevel="1"/>
    <col min="86" max="86" width="12" customWidth="1" collapsed="1"/>
    <col min="87" max="87" width="16.28515625" hidden="1" customWidth="1" outlineLevel="1"/>
    <col min="88" max="88" width="14.42578125" hidden="1" customWidth="1" outlineLevel="1"/>
    <col min="89" max="89" width="12" customWidth="1" collapsed="1"/>
    <col min="90" max="90" width="16.28515625" hidden="1" customWidth="1" outlineLevel="1"/>
    <col min="91" max="91" width="14.42578125" hidden="1" customWidth="1" outlineLevel="1"/>
    <col min="92" max="92" width="12" customWidth="1" collapsed="1"/>
    <col min="93" max="93" width="16.28515625" hidden="1" customWidth="1" outlineLevel="1"/>
    <col min="94" max="94" width="14.42578125" hidden="1" customWidth="1" outlineLevel="1"/>
    <col min="95" max="95" width="12" customWidth="1" collapsed="1"/>
    <col min="96" max="96" width="16.28515625" hidden="1" customWidth="1" outlineLevel="1"/>
    <col min="97" max="97" width="14.42578125" hidden="1" customWidth="1" outlineLevel="1"/>
    <col min="98" max="98" width="12" customWidth="1" collapsed="1"/>
    <col min="99" max="99" width="12.140625" bestFit="1" customWidth="1"/>
    <col min="100" max="100" width="8.5703125" bestFit="1" customWidth="1"/>
    <col min="101" max="101" width="10.42578125" bestFit="1" customWidth="1"/>
    <col min="102" max="102" width="10.7109375" bestFit="1" customWidth="1"/>
    <col min="103" max="103" width="14.28515625" bestFit="1" customWidth="1"/>
    <col min="104" max="104" width="13.5703125" bestFit="1" customWidth="1"/>
    <col min="105" max="105" width="14.28515625" bestFit="1" customWidth="1"/>
    <col min="106" max="106" width="16" bestFit="1" customWidth="1"/>
    <col min="107" max="107" width="19.140625" bestFit="1" customWidth="1"/>
    <col min="108" max="108" width="20.5703125" bestFit="1" customWidth="1"/>
  </cols>
  <sheetData>
    <row r="1" spans="1:108" ht="15.75" x14ac:dyDescent="0.25">
      <c r="A1" s="48" t="s">
        <v>0</v>
      </c>
      <c r="B1" s="49"/>
      <c r="C1" s="49"/>
      <c r="D1" s="50" t="s">
        <v>1</v>
      </c>
      <c r="E1" s="47"/>
      <c r="F1" s="1"/>
      <c r="G1" s="2"/>
      <c r="H1" s="1" t="s">
        <v>59</v>
      </c>
      <c r="I1" s="1"/>
      <c r="J1" s="1"/>
      <c r="K1" s="1" t="s">
        <v>62</v>
      </c>
      <c r="L1" s="1"/>
      <c r="M1" s="1"/>
      <c r="N1" s="1" t="s">
        <v>65</v>
      </c>
      <c r="O1" s="1"/>
      <c r="P1" s="1"/>
      <c r="Q1" s="1" t="s">
        <v>66</v>
      </c>
      <c r="R1" s="1"/>
      <c r="S1" s="1"/>
      <c r="T1" s="1" t="s">
        <v>67</v>
      </c>
      <c r="U1" s="1"/>
      <c r="V1" s="1"/>
      <c r="W1" s="1" t="s">
        <v>74</v>
      </c>
      <c r="X1" s="1"/>
      <c r="Y1" s="1"/>
      <c r="Z1" s="1" t="s">
        <v>77</v>
      </c>
      <c r="AA1" s="1"/>
      <c r="AB1" s="1"/>
      <c r="AC1" s="1" t="s">
        <v>59</v>
      </c>
      <c r="AD1" s="1"/>
      <c r="AE1" s="1"/>
      <c r="AF1" s="1" t="s">
        <v>62</v>
      </c>
      <c r="AG1" s="1"/>
      <c r="AH1" s="1"/>
      <c r="AI1" s="1" t="s">
        <v>65</v>
      </c>
      <c r="AJ1" s="1"/>
      <c r="AK1" s="1"/>
      <c r="AL1" s="1" t="s">
        <v>66</v>
      </c>
      <c r="AM1" s="1"/>
      <c r="AN1" s="1"/>
      <c r="AO1" s="1" t="s">
        <v>67</v>
      </c>
      <c r="AP1" s="1"/>
      <c r="AQ1" s="1"/>
      <c r="AR1" s="1" t="s">
        <v>74</v>
      </c>
      <c r="AS1" s="1"/>
      <c r="AT1" s="1"/>
      <c r="AU1" s="1" t="s">
        <v>77</v>
      </c>
      <c r="AV1" s="1"/>
      <c r="AW1" s="1"/>
      <c r="AX1" s="1" t="s">
        <v>59</v>
      </c>
      <c r="AY1" s="1"/>
      <c r="AZ1" s="1"/>
      <c r="BA1" s="1" t="s">
        <v>62</v>
      </c>
      <c r="BB1" s="1"/>
      <c r="BC1" s="1"/>
      <c r="BD1" s="1" t="s">
        <v>65</v>
      </c>
      <c r="BE1" s="1"/>
      <c r="BF1" s="1"/>
      <c r="BG1" s="1" t="s">
        <v>66</v>
      </c>
      <c r="BH1" s="1"/>
      <c r="BI1" s="1"/>
      <c r="BJ1" s="1" t="s">
        <v>67</v>
      </c>
      <c r="BK1" s="1"/>
      <c r="BL1" s="1"/>
      <c r="BM1" s="1" t="s">
        <v>74</v>
      </c>
      <c r="BN1" s="1"/>
      <c r="BO1" s="1"/>
      <c r="BP1" s="1" t="s">
        <v>77</v>
      </c>
      <c r="BQ1" s="1"/>
      <c r="BR1" s="1"/>
      <c r="BS1" s="1" t="s">
        <v>59</v>
      </c>
      <c r="BT1" s="1"/>
      <c r="BU1" s="1"/>
      <c r="BV1" s="1" t="s">
        <v>62</v>
      </c>
      <c r="BW1" s="1"/>
      <c r="BX1" s="1"/>
      <c r="BY1" s="1" t="s">
        <v>65</v>
      </c>
      <c r="BZ1" s="1"/>
      <c r="CA1" s="1"/>
      <c r="CB1" s="1" t="s">
        <v>66</v>
      </c>
      <c r="CC1" s="1"/>
      <c r="CD1" s="1"/>
      <c r="CE1" s="1" t="s">
        <v>67</v>
      </c>
      <c r="CF1" s="1"/>
      <c r="CG1" s="1"/>
      <c r="CH1" s="1" t="s">
        <v>74</v>
      </c>
      <c r="CI1" s="1"/>
      <c r="CJ1" s="1"/>
      <c r="CK1" s="1" t="s">
        <v>77</v>
      </c>
      <c r="CL1" s="1"/>
      <c r="CM1" s="1"/>
      <c r="CN1" s="1" t="s">
        <v>59</v>
      </c>
      <c r="CO1" s="1"/>
      <c r="CP1" s="1"/>
      <c r="CQ1" s="1" t="s">
        <v>62</v>
      </c>
      <c r="CR1" s="1"/>
      <c r="CS1" s="1"/>
      <c r="CT1" s="1" t="s">
        <v>65</v>
      </c>
      <c r="CU1" s="2"/>
      <c r="CV1" s="2"/>
      <c r="CW1" s="2"/>
      <c r="CX1" s="2"/>
      <c r="CY1" s="2"/>
      <c r="CZ1" s="2"/>
      <c r="DA1" s="2"/>
      <c r="DB1" s="2"/>
      <c r="DC1" s="2"/>
      <c r="DD1" s="2"/>
    </row>
    <row r="2" spans="1:108" ht="45" x14ac:dyDescent="0.25">
      <c r="A2" s="3" t="s">
        <v>2</v>
      </c>
      <c r="B2" s="4" t="s">
        <v>3</v>
      </c>
      <c r="C2" s="5" t="s">
        <v>4</v>
      </c>
      <c r="D2" s="4" t="s">
        <v>5</v>
      </c>
      <c r="E2" s="4" t="s">
        <v>6</v>
      </c>
      <c r="F2" s="6" t="s">
        <v>60</v>
      </c>
      <c r="G2" s="6" t="s">
        <v>61</v>
      </c>
      <c r="H2" s="6">
        <v>46204</v>
      </c>
      <c r="I2" s="6" t="s">
        <v>63</v>
      </c>
      <c r="J2" s="6" t="s">
        <v>64</v>
      </c>
      <c r="K2" s="6">
        <v>46205</v>
      </c>
      <c r="L2" s="6" t="s">
        <v>68</v>
      </c>
      <c r="M2" s="6" t="s">
        <v>69</v>
      </c>
      <c r="N2" s="6">
        <v>46206</v>
      </c>
      <c r="O2" s="6" t="s">
        <v>70</v>
      </c>
      <c r="P2" s="6" t="s">
        <v>71</v>
      </c>
      <c r="Q2" s="6">
        <v>46207</v>
      </c>
      <c r="R2" s="6" t="s">
        <v>72</v>
      </c>
      <c r="S2" s="6" t="s">
        <v>73</v>
      </c>
      <c r="T2" s="6">
        <v>46208</v>
      </c>
      <c r="U2" s="6" t="s">
        <v>75</v>
      </c>
      <c r="V2" s="6" t="s">
        <v>76</v>
      </c>
      <c r="W2" s="6">
        <v>46209</v>
      </c>
      <c r="X2" s="6" t="s">
        <v>78</v>
      </c>
      <c r="Y2" s="6" t="s">
        <v>79</v>
      </c>
      <c r="Z2" s="6">
        <v>46210</v>
      </c>
      <c r="AA2" s="6" t="s">
        <v>80</v>
      </c>
      <c r="AB2" s="6" t="s">
        <v>81</v>
      </c>
      <c r="AC2" s="6">
        <v>46211</v>
      </c>
      <c r="AD2" s="6" t="s">
        <v>83</v>
      </c>
      <c r="AE2" s="6" t="s">
        <v>84</v>
      </c>
      <c r="AF2" s="6">
        <v>46212</v>
      </c>
      <c r="AG2" s="6" t="s">
        <v>85</v>
      </c>
      <c r="AH2" s="6" t="s">
        <v>86</v>
      </c>
      <c r="AI2" s="6">
        <v>46213</v>
      </c>
      <c r="AJ2" s="6" t="s">
        <v>88</v>
      </c>
      <c r="AK2" s="6" t="s">
        <v>87</v>
      </c>
      <c r="AL2" s="6">
        <v>46214</v>
      </c>
      <c r="AM2" s="6" t="s">
        <v>89</v>
      </c>
      <c r="AN2" s="6" t="s">
        <v>90</v>
      </c>
      <c r="AO2" s="6">
        <v>46215</v>
      </c>
      <c r="AP2" s="6" t="s">
        <v>91</v>
      </c>
      <c r="AQ2" s="6" t="s">
        <v>92</v>
      </c>
      <c r="AR2" s="6">
        <v>46216</v>
      </c>
      <c r="AS2" s="6" t="s">
        <v>93</v>
      </c>
      <c r="AT2" s="6" t="s">
        <v>94</v>
      </c>
      <c r="AU2" s="6">
        <v>46217</v>
      </c>
      <c r="AV2" s="6" t="s">
        <v>96</v>
      </c>
      <c r="AW2" s="6" t="s">
        <v>95</v>
      </c>
      <c r="AX2" s="6">
        <v>46218</v>
      </c>
      <c r="AY2" s="6" t="s">
        <v>97</v>
      </c>
      <c r="AZ2" s="6" t="s">
        <v>98</v>
      </c>
      <c r="BA2" s="6">
        <v>46219</v>
      </c>
      <c r="BB2" s="6" t="s">
        <v>101</v>
      </c>
      <c r="BC2" s="6" t="s">
        <v>102</v>
      </c>
      <c r="BD2" s="6">
        <v>46220</v>
      </c>
      <c r="BE2" s="6" t="s">
        <v>103</v>
      </c>
      <c r="BF2" s="6" t="s">
        <v>104</v>
      </c>
      <c r="BG2" s="6">
        <v>46221</v>
      </c>
      <c r="BH2" s="6" t="s">
        <v>105</v>
      </c>
      <c r="BI2" s="6" t="s">
        <v>106</v>
      </c>
      <c r="BJ2" s="6">
        <v>46222</v>
      </c>
      <c r="BK2" s="6" t="s">
        <v>107</v>
      </c>
      <c r="BL2" s="6" t="s">
        <v>108</v>
      </c>
      <c r="BM2" s="6">
        <v>46223</v>
      </c>
      <c r="BN2" s="6" t="s">
        <v>109</v>
      </c>
      <c r="BO2" s="6" t="s">
        <v>110</v>
      </c>
      <c r="BP2" s="6">
        <v>46224</v>
      </c>
      <c r="BQ2" s="6" t="s">
        <v>111</v>
      </c>
      <c r="BR2" s="6" t="s">
        <v>112</v>
      </c>
      <c r="BS2" s="6">
        <v>46225</v>
      </c>
      <c r="BT2" s="6" t="s">
        <v>113</v>
      </c>
      <c r="BU2" s="6" t="s">
        <v>114</v>
      </c>
      <c r="BV2" s="6">
        <v>46226</v>
      </c>
      <c r="BW2" s="6" t="s">
        <v>115</v>
      </c>
      <c r="BX2" s="6" t="s">
        <v>116</v>
      </c>
      <c r="BY2" s="6">
        <v>46227</v>
      </c>
      <c r="BZ2" s="6" t="s">
        <v>117</v>
      </c>
      <c r="CA2" s="6" t="s">
        <v>118</v>
      </c>
      <c r="CB2" s="6">
        <v>46228</v>
      </c>
      <c r="CC2" s="6" t="s">
        <v>119</v>
      </c>
      <c r="CD2" s="6" t="s">
        <v>120</v>
      </c>
      <c r="CE2" s="6">
        <v>46229</v>
      </c>
      <c r="CF2" s="6" t="s">
        <v>121</v>
      </c>
      <c r="CG2" s="6" t="s">
        <v>122</v>
      </c>
      <c r="CH2" s="6">
        <v>46230</v>
      </c>
      <c r="CI2" s="6" t="s">
        <v>123</v>
      </c>
      <c r="CJ2" s="6" t="s">
        <v>124</v>
      </c>
      <c r="CK2" s="6">
        <v>46231</v>
      </c>
      <c r="CL2" s="6" t="s">
        <v>125</v>
      </c>
      <c r="CM2" s="6" t="s">
        <v>126</v>
      </c>
      <c r="CN2" s="6">
        <v>46232</v>
      </c>
      <c r="CO2" s="6" t="s">
        <v>127</v>
      </c>
      <c r="CP2" s="6" t="s">
        <v>128</v>
      </c>
      <c r="CQ2" s="6">
        <v>46233</v>
      </c>
      <c r="CR2" s="6" t="s">
        <v>129</v>
      </c>
      <c r="CS2" s="6" t="s">
        <v>130</v>
      </c>
      <c r="CT2" s="6">
        <v>46234</v>
      </c>
      <c r="CU2" s="7" t="s">
        <v>7</v>
      </c>
      <c r="CV2" s="3" t="s">
        <v>8</v>
      </c>
      <c r="CW2" s="3" t="s">
        <v>9</v>
      </c>
      <c r="CX2" s="3" t="s">
        <v>82</v>
      </c>
      <c r="CY2" s="6" t="s">
        <v>58</v>
      </c>
      <c r="CZ2" s="3" t="s">
        <v>10</v>
      </c>
      <c r="DA2" s="3" t="s">
        <v>11</v>
      </c>
      <c r="DB2" s="3" t="s">
        <v>12</v>
      </c>
      <c r="DC2" s="3" t="s">
        <v>13</v>
      </c>
      <c r="DD2" s="3" t="s">
        <v>14</v>
      </c>
    </row>
    <row r="3" spans="1:108" x14ac:dyDescent="0.25">
      <c r="A3" s="9" t="s">
        <v>15</v>
      </c>
      <c r="B3" s="10">
        <v>23</v>
      </c>
      <c r="C3" s="10" t="s">
        <v>16</v>
      </c>
      <c r="D3" s="11">
        <v>0.73923739237392372</v>
      </c>
      <c r="E3" s="11">
        <v>0.26076260762607628</v>
      </c>
      <c r="F3" s="10">
        <v>14</v>
      </c>
      <c r="G3" s="10">
        <v>1</v>
      </c>
      <c r="H3" s="10">
        <f t="shared" ref="H3:H33" si="0">F3+G3</f>
        <v>15</v>
      </c>
      <c r="I3" s="10">
        <v>11</v>
      </c>
      <c r="J3" s="10"/>
      <c r="K3" s="10">
        <f t="shared" ref="K3:K34" si="1">I3+J3</f>
        <v>11</v>
      </c>
      <c r="L3" s="10">
        <v>11</v>
      </c>
      <c r="M3" s="10">
        <v>2</v>
      </c>
      <c r="N3" s="10">
        <f t="shared" ref="N3" si="2">L3+M3</f>
        <v>13</v>
      </c>
      <c r="O3" s="10">
        <v>10</v>
      </c>
      <c r="P3" s="10">
        <v>3</v>
      </c>
      <c r="Q3" s="10">
        <f t="shared" ref="Q3" si="3">O3+P3</f>
        <v>13</v>
      </c>
      <c r="R3" s="10">
        <v>28</v>
      </c>
      <c r="S3" s="10">
        <v>1</v>
      </c>
      <c r="T3" s="10">
        <f t="shared" ref="T3" si="4">R3+S3</f>
        <v>29</v>
      </c>
      <c r="U3" s="10">
        <v>13</v>
      </c>
      <c r="V3" s="10">
        <v>2</v>
      </c>
      <c r="W3" s="10">
        <f t="shared" ref="W3:W34" si="5">U3+V3</f>
        <v>15</v>
      </c>
      <c r="X3" s="10">
        <v>11</v>
      </c>
      <c r="Y3" s="10"/>
      <c r="Z3" s="10">
        <f t="shared" ref="Z3" si="6">X3+Y3</f>
        <v>11</v>
      </c>
      <c r="AA3" s="10">
        <v>10</v>
      </c>
      <c r="AB3" s="10"/>
      <c r="AC3" s="10">
        <f t="shared" ref="AC3" si="7">AA3+AB3</f>
        <v>10</v>
      </c>
      <c r="AD3" s="10">
        <v>12</v>
      </c>
      <c r="AE3" s="10">
        <v>10</v>
      </c>
      <c r="AF3" s="10">
        <f t="shared" ref="AF3:AF34" si="8">AD3+AE3</f>
        <v>22</v>
      </c>
      <c r="AG3" s="10">
        <v>12</v>
      </c>
      <c r="AH3" s="10">
        <v>5</v>
      </c>
      <c r="AI3" s="10">
        <f t="shared" ref="AI3" si="9">AG3+AH3</f>
        <v>17</v>
      </c>
      <c r="AJ3" s="10">
        <v>18</v>
      </c>
      <c r="AK3" s="10">
        <v>3</v>
      </c>
      <c r="AL3" s="10">
        <f t="shared" ref="AL3" si="10">AJ3+AK3</f>
        <v>21</v>
      </c>
      <c r="AM3" s="10">
        <v>17</v>
      </c>
      <c r="AN3" s="10">
        <v>6</v>
      </c>
      <c r="AO3" s="10">
        <f t="shared" ref="AO3" si="11">AM3+AN3</f>
        <v>23</v>
      </c>
      <c r="AP3" s="10">
        <v>15</v>
      </c>
      <c r="AQ3" s="10">
        <v>3</v>
      </c>
      <c r="AR3" s="10">
        <f t="shared" ref="AR3:AR34" si="12">AP3+AQ3</f>
        <v>18</v>
      </c>
      <c r="AS3" s="10">
        <v>8</v>
      </c>
      <c r="AT3" s="10">
        <v>2</v>
      </c>
      <c r="AU3" s="10">
        <f t="shared" ref="AU3:AU34" si="13">AS3+AT3</f>
        <v>10</v>
      </c>
      <c r="AV3" s="10">
        <v>12</v>
      </c>
      <c r="AW3" s="10">
        <v>6</v>
      </c>
      <c r="AX3" s="10">
        <f t="shared" ref="AX3:AX34" si="14">AV3+AW3</f>
        <v>18</v>
      </c>
      <c r="AY3" s="10">
        <v>9</v>
      </c>
      <c r="AZ3" s="10">
        <v>3</v>
      </c>
      <c r="BA3" s="10">
        <f t="shared" ref="BA3:BA34" si="15">AY3+AZ3</f>
        <v>12</v>
      </c>
      <c r="BB3" s="10">
        <v>10</v>
      </c>
      <c r="BC3" s="10">
        <v>5</v>
      </c>
      <c r="BD3" s="10">
        <f t="shared" ref="BD3" si="16">BB3+BC3</f>
        <v>15</v>
      </c>
      <c r="BE3" s="10">
        <v>17</v>
      </c>
      <c r="BF3" s="10">
        <v>3</v>
      </c>
      <c r="BG3" s="10">
        <f t="shared" ref="BG3" si="17">BE3+BF3</f>
        <v>20</v>
      </c>
      <c r="BH3" s="10">
        <v>9</v>
      </c>
      <c r="BI3" s="10">
        <v>6</v>
      </c>
      <c r="BJ3" s="10">
        <f t="shared" ref="BJ3" si="18">BH3+BI3</f>
        <v>15</v>
      </c>
      <c r="BK3" s="10">
        <v>17</v>
      </c>
      <c r="BL3" s="10">
        <v>5</v>
      </c>
      <c r="BM3" s="10">
        <f t="shared" ref="BM3:BM34" si="19">BK3+BL3</f>
        <v>22</v>
      </c>
      <c r="BN3" s="10">
        <v>26</v>
      </c>
      <c r="BO3" s="10">
        <v>5</v>
      </c>
      <c r="BP3" s="10">
        <f t="shared" ref="BP3:BP34" si="20">BN3+BO3</f>
        <v>31</v>
      </c>
      <c r="BQ3" s="10">
        <v>20</v>
      </c>
      <c r="BR3" s="10">
        <v>7</v>
      </c>
      <c r="BS3" s="10">
        <f t="shared" ref="BS3:BS34" si="21">BQ3+BR3</f>
        <v>27</v>
      </c>
      <c r="BT3" s="10">
        <v>20</v>
      </c>
      <c r="BU3" s="10">
        <v>10</v>
      </c>
      <c r="BV3" s="10">
        <f t="shared" ref="BV3:BV34" si="22">BT3+BU3</f>
        <v>30</v>
      </c>
      <c r="BW3" s="10">
        <v>12</v>
      </c>
      <c r="BX3" s="10">
        <v>3</v>
      </c>
      <c r="BY3" s="10">
        <f t="shared" ref="BY3" si="23">BW3+BX3</f>
        <v>15</v>
      </c>
      <c r="BZ3" s="10">
        <v>19</v>
      </c>
      <c r="CA3" s="10">
        <v>9</v>
      </c>
      <c r="CB3" s="10">
        <f t="shared" ref="CB3" si="24">BZ3+CA3</f>
        <v>28</v>
      </c>
      <c r="CC3" s="10">
        <v>14</v>
      </c>
      <c r="CD3" s="10">
        <v>10</v>
      </c>
      <c r="CE3" s="10">
        <f t="shared" ref="CE3" si="25">CC3+CD3</f>
        <v>24</v>
      </c>
      <c r="CF3" s="10">
        <v>28</v>
      </c>
      <c r="CG3" s="10">
        <v>10</v>
      </c>
      <c r="CH3" s="10">
        <f t="shared" ref="CH3:CH34" si="26">CF3+CG3</f>
        <v>38</v>
      </c>
      <c r="CI3" s="10">
        <v>14</v>
      </c>
      <c r="CJ3" s="10">
        <v>4</v>
      </c>
      <c r="CK3" s="10">
        <f t="shared" ref="CK3:CK34" si="27">CI3+CJ3</f>
        <v>18</v>
      </c>
      <c r="CL3" s="10">
        <v>24</v>
      </c>
      <c r="CM3" s="10"/>
      <c r="CN3" s="10">
        <f t="shared" ref="CN3:CN34" si="28">CL3+CM3</f>
        <v>24</v>
      </c>
      <c r="CO3" s="10">
        <v>8</v>
      </c>
      <c r="CP3" s="10">
        <v>12</v>
      </c>
      <c r="CQ3" s="10">
        <f t="shared" ref="CQ3:CQ34" si="29">CO3+CP3</f>
        <v>20</v>
      </c>
      <c r="CR3" s="10">
        <v>22</v>
      </c>
      <c r="CS3" s="10">
        <v>8</v>
      </c>
      <c r="CT3" s="10">
        <f t="shared" ref="CT3:CT34" si="30">CR3+CS3</f>
        <v>30</v>
      </c>
      <c r="CU3" s="10">
        <f>H3+K3+N3+Q3+T3+W3+Z3+AC3+AF3+AI3+AL3+AO3+AR3+AU3+AX3+BA3+BD3+BG3+BJ3+BM3+BP3+BS3+BV3+BY3+CB3+CE3+CH3+CK3+CN3+CQ3+CT3</f>
        <v>615</v>
      </c>
      <c r="CV3" s="12">
        <f t="shared" ref="CV3:CV34" si="31">CU3/$CU$35</f>
        <v>7.4799318900510822E-2</v>
      </c>
      <c r="CW3" s="10">
        <f t="shared" ref="CW3:CW31" si="32">CU40</f>
        <v>25</v>
      </c>
      <c r="CX3" s="13">
        <f t="shared" ref="CX3:CX35" si="33">CW3/CU3</f>
        <v>4.065040650406504E-2</v>
      </c>
      <c r="CY3" s="14">
        <v>10</v>
      </c>
      <c r="CZ3" s="15">
        <f>SUM(CY3)</f>
        <v>10</v>
      </c>
      <c r="DA3" s="13">
        <f t="shared" ref="DA3:DA31" si="34">CZ3/CU3</f>
        <v>1.6260162601626018E-2</v>
      </c>
      <c r="DB3" s="10"/>
      <c r="DC3" s="10"/>
      <c r="DD3" s="10"/>
    </row>
    <row r="4" spans="1:108" x14ac:dyDescent="0.25">
      <c r="A4" s="9" t="s">
        <v>17</v>
      </c>
      <c r="B4" s="10">
        <v>4</v>
      </c>
      <c r="C4" s="10" t="s">
        <v>16</v>
      </c>
      <c r="D4" s="11">
        <v>1</v>
      </c>
      <c r="E4" s="11">
        <v>0</v>
      </c>
      <c r="F4" s="10">
        <v>1</v>
      </c>
      <c r="G4" s="10"/>
      <c r="H4" s="10">
        <f t="shared" si="0"/>
        <v>1</v>
      </c>
      <c r="I4" s="10"/>
      <c r="J4" s="10"/>
      <c r="K4" s="10">
        <f t="shared" si="1"/>
        <v>0</v>
      </c>
      <c r="L4" s="10">
        <v>1</v>
      </c>
      <c r="M4" s="10">
        <v>1</v>
      </c>
      <c r="N4" s="10">
        <f t="shared" ref="N4:N34" si="35">L4+M4</f>
        <v>2</v>
      </c>
      <c r="O4" s="10">
        <v>2</v>
      </c>
      <c r="P4" s="10">
        <v>2</v>
      </c>
      <c r="Q4" s="10">
        <f t="shared" ref="Q4:Q34" si="36">O4+P4</f>
        <v>4</v>
      </c>
      <c r="R4" s="10">
        <v>0</v>
      </c>
      <c r="S4" s="10">
        <v>1</v>
      </c>
      <c r="T4" s="10">
        <f t="shared" ref="T4:T34" si="37">R4+S4</f>
        <v>1</v>
      </c>
      <c r="U4" s="10">
        <v>2</v>
      </c>
      <c r="V4" s="10">
        <v>1</v>
      </c>
      <c r="W4" s="10">
        <f t="shared" si="5"/>
        <v>3</v>
      </c>
      <c r="X4" s="10">
        <v>0</v>
      </c>
      <c r="Y4" s="10"/>
      <c r="Z4" s="10">
        <f t="shared" ref="Z4:Z34" si="38">X4+Y4</f>
        <v>0</v>
      </c>
      <c r="AA4" s="10">
        <v>1</v>
      </c>
      <c r="AB4" s="10"/>
      <c r="AC4" s="10">
        <f t="shared" ref="AC4:AC34" si="39">AA4+AB4</f>
        <v>1</v>
      </c>
      <c r="AD4" s="10">
        <v>2</v>
      </c>
      <c r="AE4" s="10">
        <v>2</v>
      </c>
      <c r="AF4" s="10">
        <f t="shared" si="8"/>
        <v>4</v>
      </c>
      <c r="AG4" s="10">
        <v>0</v>
      </c>
      <c r="AH4" s="10">
        <v>2</v>
      </c>
      <c r="AI4" s="10">
        <f t="shared" ref="AI4:AI34" si="40">AG4+AH4</f>
        <v>2</v>
      </c>
      <c r="AJ4" s="10">
        <v>0</v>
      </c>
      <c r="AK4" s="10">
        <v>2</v>
      </c>
      <c r="AL4" s="10">
        <f t="shared" ref="AL4:AL34" si="41">AJ4+AK4</f>
        <v>2</v>
      </c>
      <c r="AM4" s="10">
        <v>1</v>
      </c>
      <c r="AN4" s="10">
        <v>1</v>
      </c>
      <c r="AO4" s="10">
        <f t="shared" ref="AO4:AO34" si="42">AM4+AN4</f>
        <v>2</v>
      </c>
      <c r="AP4" s="10"/>
      <c r="AQ4" s="10"/>
      <c r="AR4" s="10">
        <f t="shared" si="12"/>
        <v>0</v>
      </c>
      <c r="AS4" s="10"/>
      <c r="AT4" s="10">
        <v>2</v>
      </c>
      <c r="AU4" s="10">
        <f t="shared" si="13"/>
        <v>2</v>
      </c>
      <c r="AV4" s="10"/>
      <c r="AW4" s="10">
        <v>1</v>
      </c>
      <c r="AX4" s="10">
        <f t="shared" si="14"/>
        <v>1</v>
      </c>
      <c r="AY4" s="10"/>
      <c r="AZ4" s="10"/>
      <c r="BA4" s="10">
        <f t="shared" si="15"/>
        <v>0</v>
      </c>
      <c r="BB4" s="10">
        <v>1</v>
      </c>
      <c r="BC4" s="10">
        <v>2</v>
      </c>
      <c r="BD4" s="10">
        <f t="shared" ref="BD4:BD34" si="43">BB4+BC4</f>
        <v>3</v>
      </c>
      <c r="BE4" s="10">
        <v>1</v>
      </c>
      <c r="BF4" s="10"/>
      <c r="BG4" s="10">
        <f t="shared" ref="BG4:BG34" si="44">BE4+BF4</f>
        <v>1</v>
      </c>
      <c r="BH4" s="10">
        <v>0</v>
      </c>
      <c r="BI4" s="10"/>
      <c r="BJ4" s="10">
        <f t="shared" ref="BJ4:BJ34" si="45">BH4+BI4</f>
        <v>0</v>
      </c>
      <c r="BK4" s="10">
        <v>1</v>
      </c>
      <c r="BL4" s="10">
        <v>2</v>
      </c>
      <c r="BM4" s="10">
        <f t="shared" si="19"/>
        <v>3</v>
      </c>
      <c r="BN4" s="10"/>
      <c r="BO4" s="10">
        <v>3</v>
      </c>
      <c r="BP4" s="10">
        <f t="shared" si="20"/>
        <v>3</v>
      </c>
      <c r="BQ4" s="10">
        <v>1</v>
      </c>
      <c r="BR4" s="10">
        <v>4</v>
      </c>
      <c r="BS4" s="10">
        <f t="shared" si="21"/>
        <v>5</v>
      </c>
      <c r="BT4" s="10"/>
      <c r="BU4" s="10">
        <v>1</v>
      </c>
      <c r="BV4" s="10">
        <f t="shared" si="22"/>
        <v>1</v>
      </c>
      <c r="BW4" s="10"/>
      <c r="BX4" s="10">
        <v>0</v>
      </c>
      <c r="BY4" s="10">
        <f t="shared" ref="BY4:BY34" si="46">BW4+BX4</f>
        <v>0</v>
      </c>
      <c r="BZ4" s="10"/>
      <c r="CA4" s="10">
        <v>2</v>
      </c>
      <c r="CB4" s="10">
        <f t="shared" ref="CB4:CB34" si="47">BZ4+CA4</f>
        <v>2</v>
      </c>
      <c r="CC4" s="10"/>
      <c r="CD4" s="10">
        <v>5</v>
      </c>
      <c r="CE4" s="10">
        <f t="shared" ref="CE4:CE34" si="48">CC4+CD4</f>
        <v>5</v>
      </c>
      <c r="CF4" s="10"/>
      <c r="CG4" s="10">
        <v>1</v>
      </c>
      <c r="CH4" s="10">
        <f t="shared" si="26"/>
        <v>1</v>
      </c>
      <c r="CI4" s="10"/>
      <c r="CJ4" s="10">
        <v>3</v>
      </c>
      <c r="CK4" s="10">
        <f t="shared" si="27"/>
        <v>3</v>
      </c>
      <c r="CL4" s="10"/>
      <c r="CM4" s="10"/>
      <c r="CN4" s="10">
        <f t="shared" si="28"/>
        <v>0</v>
      </c>
      <c r="CO4" s="10"/>
      <c r="CP4" s="10">
        <v>3</v>
      </c>
      <c r="CQ4" s="10">
        <f t="shared" si="29"/>
        <v>3</v>
      </c>
      <c r="CR4" s="10"/>
      <c r="CS4" s="10">
        <v>2</v>
      </c>
      <c r="CT4" s="10">
        <f t="shared" si="30"/>
        <v>2</v>
      </c>
      <c r="CU4" s="10">
        <f t="shared" ref="CU4:CU34" si="49">H4+K4+N4+Q4+T4+W4+Z4+AC4+AF4+AI4+AL4+AO4+AR4+AU4+AX4+BA4+BD4+BG4+BJ4+BM4+BP4+BS4+BV4+BY4+CB4+CE4+CH4+CK4+CN4+CQ4+CT4</f>
        <v>57</v>
      </c>
      <c r="CV4" s="12">
        <f t="shared" si="31"/>
        <v>6.9326198005351496E-3</v>
      </c>
      <c r="CW4" s="10">
        <f t="shared" si="32"/>
        <v>0</v>
      </c>
      <c r="CX4" s="13">
        <f t="shared" si="33"/>
        <v>0</v>
      </c>
      <c r="CY4" s="14"/>
      <c r="CZ4" s="15">
        <f t="shared" ref="CZ4:CZ34" si="50">SUM(CY4)</f>
        <v>0</v>
      </c>
      <c r="DA4" s="13">
        <f t="shared" si="34"/>
        <v>0</v>
      </c>
      <c r="DB4" s="10"/>
      <c r="DC4" s="10"/>
      <c r="DD4" s="10"/>
    </row>
    <row r="5" spans="1:108" x14ac:dyDescent="0.25">
      <c r="A5" s="9" t="s">
        <v>18</v>
      </c>
      <c r="B5" s="10">
        <v>7</v>
      </c>
      <c r="C5" s="10" t="s">
        <v>16</v>
      </c>
      <c r="D5" s="11">
        <v>1</v>
      </c>
      <c r="E5" s="11">
        <v>0</v>
      </c>
      <c r="F5" s="10">
        <v>1</v>
      </c>
      <c r="G5" s="10"/>
      <c r="H5" s="10">
        <f t="shared" si="0"/>
        <v>1</v>
      </c>
      <c r="I5" s="10">
        <v>3</v>
      </c>
      <c r="J5" s="10"/>
      <c r="K5" s="10">
        <f t="shared" si="1"/>
        <v>3</v>
      </c>
      <c r="L5" s="10">
        <v>0</v>
      </c>
      <c r="M5" s="10"/>
      <c r="N5" s="10">
        <f t="shared" si="35"/>
        <v>0</v>
      </c>
      <c r="O5" s="10">
        <v>0</v>
      </c>
      <c r="P5" s="10"/>
      <c r="Q5" s="10">
        <f t="shared" si="36"/>
        <v>0</v>
      </c>
      <c r="R5" s="10">
        <v>2</v>
      </c>
      <c r="S5" s="10"/>
      <c r="T5" s="10">
        <f t="shared" si="37"/>
        <v>2</v>
      </c>
      <c r="U5" s="10"/>
      <c r="V5" s="10"/>
      <c r="W5" s="10">
        <f t="shared" si="5"/>
        <v>0</v>
      </c>
      <c r="X5" s="10">
        <v>0</v>
      </c>
      <c r="Y5" s="10"/>
      <c r="Z5" s="10">
        <f t="shared" si="38"/>
        <v>0</v>
      </c>
      <c r="AA5" s="10">
        <v>1</v>
      </c>
      <c r="AB5" s="10"/>
      <c r="AC5" s="10">
        <f t="shared" si="39"/>
        <v>1</v>
      </c>
      <c r="AD5" s="10"/>
      <c r="AE5" s="10"/>
      <c r="AF5" s="10">
        <f t="shared" si="8"/>
        <v>0</v>
      </c>
      <c r="AG5" s="10">
        <v>0</v>
      </c>
      <c r="AH5" s="10"/>
      <c r="AI5" s="10">
        <f t="shared" si="40"/>
        <v>0</v>
      </c>
      <c r="AJ5" s="10">
        <v>1</v>
      </c>
      <c r="AK5" s="10"/>
      <c r="AL5" s="10">
        <f t="shared" si="41"/>
        <v>1</v>
      </c>
      <c r="AM5" s="10">
        <v>1</v>
      </c>
      <c r="AN5" s="10"/>
      <c r="AO5" s="10">
        <f t="shared" si="42"/>
        <v>1</v>
      </c>
      <c r="AP5" s="10"/>
      <c r="AQ5" s="10"/>
      <c r="AR5" s="10">
        <f t="shared" si="12"/>
        <v>0</v>
      </c>
      <c r="AS5" s="10"/>
      <c r="AT5" s="10"/>
      <c r="AU5" s="10">
        <f t="shared" si="13"/>
        <v>0</v>
      </c>
      <c r="AV5" s="10">
        <v>1</v>
      </c>
      <c r="AW5" s="10"/>
      <c r="AX5" s="10">
        <f t="shared" si="14"/>
        <v>1</v>
      </c>
      <c r="AY5" s="10">
        <v>2</v>
      </c>
      <c r="AZ5" s="10"/>
      <c r="BA5" s="10">
        <f t="shared" si="15"/>
        <v>2</v>
      </c>
      <c r="BB5" s="10">
        <v>2</v>
      </c>
      <c r="BC5" s="10"/>
      <c r="BD5" s="10">
        <f t="shared" si="43"/>
        <v>2</v>
      </c>
      <c r="BE5" s="10">
        <v>2</v>
      </c>
      <c r="BF5" s="10"/>
      <c r="BG5" s="10">
        <f t="shared" si="44"/>
        <v>2</v>
      </c>
      <c r="BH5" s="10">
        <v>2</v>
      </c>
      <c r="BI5" s="10"/>
      <c r="BJ5" s="10">
        <f t="shared" si="45"/>
        <v>2</v>
      </c>
      <c r="BK5" s="10"/>
      <c r="BL5" s="10"/>
      <c r="BM5" s="10">
        <f t="shared" si="19"/>
        <v>0</v>
      </c>
      <c r="BN5" s="10"/>
      <c r="BO5" s="10"/>
      <c r="BP5" s="10">
        <f t="shared" si="20"/>
        <v>0</v>
      </c>
      <c r="BQ5" s="10">
        <v>2</v>
      </c>
      <c r="BR5" s="10"/>
      <c r="BS5" s="10">
        <f t="shared" si="21"/>
        <v>2</v>
      </c>
      <c r="BT5" s="10"/>
      <c r="BU5" s="10"/>
      <c r="BV5" s="10">
        <f t="shared" si="22"/>
        <v>0</v>
      </c>
      <c r="BW5" s="10">
        <v>0</v>
      </c>
      <c r="BX5" s="10"/>
      <c r="BY5" s="10">
        <f t="shared" si="46"/>
        <v>0</v>
      </c>
      <c r="BZ5" s="10">
        <v>0</v>
      </c>
      <c r="CA5" s="10"/>
      <c r="CB5" s="10">
        <f t="shared" si="47"/>
        <v>0</v>
      </c>
      <c r="CC5" s="10">
        <v>1</v>
      </c>
      <c r="CD5" s="10"/>
      <c r="CE5" s="10">
        <f t="shared" si="48"/>
        <v>1</v>
      </c>
      <c r="CF5" s="10">
        <v>1</v>
      </c>
      <c r="CG5" s="10"/>
      <c r="CH5" s="10">
        <f t="shared" si="26"/>
        <v>1</v>
      </c>
      <c r="CI5" s="10">
        <v>3</v>
      </c>
      <c r="CJ5" s="10"/>
      <c r="CK5" s="10">
        <f t="shared" si="27"/>
        <v>3</v>
      </c>
      <c r="CL5" s="10">
        <v>2</v>
      </c>
      <c r="CM5" s="10"/>
      <c r="CN5" s="10">
        <f t="shared" si="28"/>
        <v>2</v>
      </c>
      <c r="CO5" s="10">
        <v>3</v>
      </c>
      <c r="CP5" s="10"/>
      <c r="CQ5" s="10">
        <f t="shared" si="29"/>
        <v>3</v>
      </c>
      <c r="CR5" s="10">
        <v>1</v>
      </c>
      <c r="CS5" s="10"/>
      <c r="CT5" s="10">
        <f t="shared" si="30"/>
        <v>1</v>
      </c>
      <c r="CU5" s="10">
        <f t="shared" si="49"/>
        <v>31</v>
      </c>
      <c r="CV5" s="12">
        <f t="shared" si="31"/>
        <v>3.7703721722208709E-3</v>
      </c>
      <c r="CW5" s="10">
        <f t="shared" si="32"/>
        <v>0</v>
      </c>
      <c r="CX5" s="13">
        <f t="shared" si="33"/>
        <v>0</v>
      </c>
      <c r="CY5" s="14"/>
      <c r="CZ5" s="15">
        <f t="shared" si="50"/>
        <v>0</v>
      </c>
      <c r="DA5" s="13">
        <f t="shared" si="34"/>
        <v>0</v>
      </c>
      <c r="DB5" s="10"/>
      <c r="DC5" s="10"/>
      <c r="DD5" s="10"/>
    </row>
    <row r="6" spans="1:108" x14ac:dyDescent="0.25">
      <c r="A6" s="9" t="s">
        <v>19</v>
      </c>
      <c r="B6" s="10">
        <v>18</v>
      </c>
      <c r="C6" s="10" t="s">
        <v>16</v>
      </c>
      <c r="D6" s="11">
        <v>0.49383730484798688</v>
      </c>
      <c r="E6" s="11">
        <v>0.50616269515201318</v>
      </c>
      <c r="F6" s="10">
        <v>1</v>
      </c>
      <c r="G6" s="10">
        <v>2</v>
      </c>
      <c r="H6" s="10">
        <f t="shared" si="0"/>
        <v>3</v>
      </c>
      <c r="I6" s="10">
        <v>3</v>
      </c>
      <c r="J6" s="10"/>
      <c r="K6" s="10">
        <f t="shared" si="1"/>
        <v>3</v>
      </c>
      <c r="L6" s="10">
        <v>3</v>
      </c>
      <c r="M6" s="10">
        <v>2</v>
      </c>
      <c r="N6" s="10">
        <f t="shared" si="35"/>
        <v>5</v>
      </c>
      <c r="O6" s="10">
        <v>4</v>
      </c>
      <c r="P6" s="10">
        <v>0</v>
      </c>
      <c r="Q6" s="10">
        <f t="shared" si="36"/>
        <v>4</v>
      </c>
      <c r="R6" s="10">
        <v>3</v>
      </c>
      <c r="S6" s="10">
        <v>0</v>
      </c>
      <c r="T6" s="10">
        <f t="shared" si="37"/>
        <v>3</v>
      </c>
      <c r="U6" s="10">
        <v>1</v>
      </c>
      <c r="V6" s="10"/>
      <c r="W6" s="10">
        <f t="shared" si="5"/>
        <v>1</v>
      </c>
      <c r="X6" s="10">
        <v>3</v>
      </c>
      <c r="Y6" s="10"/>
      <c r="Z6" s="10">
        <f t="shared" si="38"/>
        <v>3</v>
      </c>
      <c r="AA6" s="10">
        <v>3</v>
      </c>
      <c r="AB6" s="10"/>
      <c r="AC6" s="10">
        <f t="shared" si="39"/>
        <v>3</v>
      </c>
      <c r="AD6" s="10">
        <v>3</v>
      </c>
      <c r="AE6" s="10">
        <v>2</v>
      </c>
      <c r="AF6" s="10">
        <f t="shared" si="8"/>
        <v>5</v>
      </c>
      <c r="AG6" s="10">
        <v>0</v>
      </c>
      <c r="AH6" s="10">
        <v>1</v>
      </c>
      <c r="AI6" s="10">
        <f t="shared" si="40"/>
        <v>1</v>
      </c>
      <c r="AJ6" s="10">
        <v>3</v>
      </c>
      <c r="AK6" s="10">
        <v>0</v>
      </c>
      <c r="AL6" s="10">
        <f t="shared" si="41"/>
        <v>3</v>
      </c>
      <c r="AM6" s="10">
        <v>2</v>
      </c>
      <c r="AN6" s="10">
        <v>2</v>
      </c>
      <c r="AO6" s="10">
        <f t="shared" si="42"/>
        <v>4</v>
      </c>
      <c r="AP6" s="10">
        <v>2</v>
      </c>
      <c r="AQ6" s="10">
        <v>2</v>
      </c>
      <c r="AR6" s="10">
        <f t="shared" si="12"/>
        <v>4</v>
      </c>
      <c r="AS6" s="10">
        <v>2</v>
      </c>
      <c r="AT6" s="10">
        <v>1</v>
      </c>
      <c r="AU6" s="10">
        <f t="shared" si="13"/>
        <v>3</v>
      </c>
      <c r="AV6" s="10">
        <v>3</v>
      </c>
      <c r="AW6" s="10">
        <v>2</v>
      </c>
      <c r="AX6" s="10">
        <f t="shared" si="14"/>
        <v>5</v>
      </c>
      <c r="AY6" s="10">
        <v>10</v>
      </c>
      <c r="AZ6" s="10"/>
      <c r="BA6" s="10">
        <f t="shared" si="15"/>
        <v>10</v>
      </c>
      <c r="BB6" s="10">
        <v>7</v>
      </c>
      <c r="BC6" s="10">
        <v>1</v>
      </c>
      <c r="BD6" s="10">
        <f t="shared" si="43"/>
        <v>8</v>
      </c>
      <c r="BE6" s="10">
        <v>9</v>
      </c>
      <c r="BF6" s="10">
        <v>3</v>
      </c>
      <c r="BG6" s="10">
        <f t="shared" si="44"/>
        <v>12</v>
      </c>
      <c r="BH6" s="10">
        <v>16</v>
      </c>
      <c r="BI6" s="10">
        <v>1</v>
      </c>
      <c r="BJ6" s="10">
        <f t="shared" si="45"/>
        <v>17</v>
      </c>
      <c r="BK6" s="10">
        <v>7</v>
      </c>
      <c r="BL6" s="10">
        <v>1</v>
      </c>
      <c r="BM6" s="10">
        <f t="shared" si="19"/>
        <v>8</v>
      </c>
      <c r="BN6" s="10">
        <v>11</v>
      </c>
      <c r="BO6" s="10">
        <v>1</v>
      </c>
      <c r="BP6" s="10">
        <f t="shared" si="20"/>
        <v>12</v>
      </c>
      <c r="BQ6" s="10">
        <v>12</v>
      </c>
      <c r="BR6" s="10"/>
      <c r="BS6" s="10">
        <f t="shared" si="21"/>
        <v>12</v>
      </c>
      <c r="BT6" s="10">
        <v>15</v>
      </c>
      <c r="BU6" s="10">
        <v>2</v>
      </c>
      <c r="BV6" s="10">
        <f t="shared" si="22"/>
        <v>17</v>
      </c>
      <c r="BW6" s="10">
        <v>11</v>
      </c>
      <c r="BX6" s="10">
        <v>2</v>
      </c>
      <c r="BY6" s="10">
        <f t="shared" si="46"/>
        <v>13</v>
      </c>
      <c r="BZ6" s="10">
        <v>9</v>
      </c>
      <c r="CA6" s="10">
        <v>2</v>
      </c>
      <c r="CB6" s="10">
        <f t="shared" si="47"/>
        <v>11</v>
      </c>
      <c r="CC6" s="10">
        <v>13</v>
      </c>
      <c r="CD6" s="10">
        <v>3</v>
      </c>
      <c r="CE6" s="10">
        <f t="shared" si="48"/>
        <v>16</v>
      </c>
      <c r="CF6" s="10">
        <v>11</v>
      </c>
      <c r="CG6" s="10"/>
      <c r="CH6" s="10">
        <f t="shared" si="26"/>
        <v>11</v>
      </c>
      <c r="CI6" s="10">
        <v>12</v>
      </c>
      <c r="CJ6" s="10">
        <v>1</v>
      </c>
      <c r="CK6" s="10">
        <f t="shared" si="27"/>
        <v>13</v>
      </c>
      <c r="CL6" s="10">
        <v>12</v>
      </c>
      <c r="CM6" s="10"/>
      <c r="CN6" s="10">
        <f t="shared" si="28"/>
        <v>12</v>
      </c>
      <c r="CO6" s="10">
        <v>11</v>
      </c>
      <c r="CP6" s="10">
        <v>2</v>
      </c>
      <c r="CQ6" s="10">
        <f t="shared" si="29"/>
        <v>13</v>
      </c>
      <c r="CR6" s="10">
        <v>13</v>
      </c>
      <c r="CS6" s="10">
        <v>1</v>
      </c>
      <c r="CT6" s="10">
        <f t="shared" si="30"/>
        <v>14</v>
      </c>
      <c r="CU6" s="10">
        <f t="shared" si="49"/>
        <v>249</v>
      </c>
      <c r="CV6" s="12">
        <f t="shared" si="31"/>
        <v>3.0284602286548286E-2</v>
      </c>
      <c r="CW6" s="10">
        <f t="shared" si="32"/>
        <v>138</v>
      </c>
      <c r="CX6" s="13">
        <f t="shared" si="33"/>
        <v>0.55421686746987953</v>
      </c>
      <c r="CY6" s="14">
        <v>3</v>
      </c>
      <c r="CZ6" s="15">
        <f t="shared" si="50"/>
        <v>3</v>
      </c>
      <c r="DA6" s="13">
        <f t="shared" si="34"/>
        <v>1.2048192771084338E-2</v>
      </c>
      <c r="DB6" s="10"/>
      <c r="DC6" s="10"/>
      <c r="DD6" s="10"/>
    </row>
    <row r="7" spans="1:108" x14ac:dyDescent="0.25">
      <c r="A7" s="16" t="s">
        <v>20</v>
      </c>
      <c r="B7" s="10">
        <v>11</v>
      </c>
      <c r="C7" s="10" t="s">
        <v>16</v>
      </c>
      <c r="D7" s="11">
        <v>0.77163461538461542</v>
      </c>
      <c r="E7" s="11">
        <v>0.22836538461538461</v>
      </c>
      <c r="F7" s="10">
        <v>25</v>
      </c>
      <c r="G7" s="10">
        <v>1</v>
      </c>
      <c r="H7" s="10">
        <f t="shared" si="0"/>
        <v>26</v>
      </c>
      <c r="I7" s="10">
        <v>20</v>
      </c>
      <c r="J7" s="10"/>
      <c r="K7" s="10">
        <f t="shared" si="1"/>
        <v>20</v>
      </c>
      <c r="L7" s="10">
        <v>14</v>
      </c>
      <c r="M7" s="10">
        <v>0</v>
      </c>
      <c r="N7" s="10">
        <f t="shared" si="35"/>
        <v>14</v>
      </c>
      <c r="O7" s="10">
        <v>18</v>
      </c>
      <c r="P7" s="10">
        <v>2</v>
      </c>
      <c r="Q7" s="10">
        <f t="shared" si="36"/>
        <v>20</v>
      </c>
      <c r="R7" s="10">
        <v>11</v>
      </c>
      <c r="S7" s="10">
        <v>2</v>
      </c>
      <c r="T7" s="10">
        <f t="shared" si="37"/>
        <v>13</v>
      </c>
      <c r="U7" s="10">
        <v>12</v>
      </c>
      <c r="V7" s="10"/>
      <c r="W7" s="10">
        <f t="shared" si="5"/>
        <v>12</v>
      </c>
      <c r="X7" s="10">
        <v>13</v>
      </c>
      <c r="Y7" s="10"/>
      <c r="Z7" s="10">
        <f t="shared" si="38"/>
        <v>13</v>
      </c>
      <c r="AA7" s="10">
        <v>13</v>
      </c>
      <c r="AB7" s="10"/>
      <c r="AC7" s="10">
        <f t="shared" si="39"/>
        <v>13</v>
      </c>
      <c r="AD7" s="10">
        <v>16</v>
      </c>
      <c r="AE7" s="10">
        <v>4</v>
      </c>
      <c r="AF7" s="10">
        <f t="shared" si="8"/>
        <v>20</v>
      </c>
      <c r="AG7" s="10">
        <v>12</v>
      </c>
      <c r="AH7" s="10">
        <v>3</v>
      </c>
      <c r="AI7" s="10">
        <f t="shared" si="40"/>
        <v>15</v>
      </c>
      <c r="AJ7" s="10">
        <v>10</v>
      </c>
      <c r="AK7" s="10">
        <v>4</v>
      </c>
      <c r="AL7" s="10">
        <f t="shared" si="41"/>
        <v>14</v>
      </c>
      <c r="AM7" s="10">
        <v>20</v>
      </c>
      <c r="AN7" s="10">
        <v>2</v>
      </c>
      <c r="AO7" s="10">
        <f t="shared" si="42"/>
        <v>22</v>
      </c>
      <c r="AP7" s="10">
        <v>15</v>
      </c>
      <c r="AQ7" s="10">
        <v>2</v>
      </c>
      <c r="AR7" s="10">
        <f t="shared" si="12"/>
        <v>17</v>
      </c>
      <c r="AS7" s="10">
        <v>11</v>
      </c>
      <c r="AT7" s="10">
        <v>3</v>
      </c>
      <c r="AU7" s="10">
        <f t="shared" si="13"/>
        <v>14</v>
      </c>
      <c r="AV7" s="10">
        <v>12</v>
      </c>
      <c r="AW7" s="10">
        <v>4</v>
      </c>
      <c r="AX7" s="10">
        <f t="shared" si="14"/>
        <v>16</v>
      </c>
      <c r="AY7" s="10">
        <v>10</v>
      </c>
      <c r="AZ7" s="10">
        <v>1</v>
      </c>
      <c r="BA7" s="10">
        <f t="shared" si="15"/>
        <v>11</v>
      </c>
      <c r="BB7" s="10">
        <v>12</v>
      </c>
      <c r="BC7" s="10">
        <v>3</v>
      </c>
      <c r="BD7" s="10">
        <f t="shared" si="43"/>
        <v>15</v>
      </c>
      <c r="BE7" s="10">
        <v>9</v>
      </c>
      <c r="BF7" s="10">
        <v>5</v>
      </c>
      <c r="BG7" s="10">
        <f t="shared" si="44"/>
        <v>14</v>
      </c>
      <c r="BH7" s="10">
        <v>1</v>
      </c>
      <c r="BI7" s="10">
        <v>1</v>
      </c>
      <c r="BJ7" s="10">
        <f t="shared" si="45"/>
        <v>2</v>
      </c>
      <c r="BK7" s="10">
        <v>12</v>
      </c>
      <c r="BL7" s="10">
        <v>2</v>
      </c>
      <c r="BM7" s="10">
        <f t="shared" si="19"/>
        <v>14</v>
      </c>
      <c r="BN7" s="10">
        <v>19</v>
      </c>
      <c r="BO7" s="10">
        <v>2</v>
      </c>
      <c r="BP7" s="10">
        <f t="shared" si="20"/>
        <v>21</v>
      </c>
      <c r="BQ7" s="10">
        <v>11</v>
      </c>
      <c r="BR7" s="10"/>
      <c r="BS7" s="10">
        <f t="shared" si="21"/>
        <v>11</v>
      </c>
      <c r="BT7" s="10">
        <v>7</v>
      </c>
      <c r="BU7" s="10">
        <v>2</v>
      </c>
      <c r="BV7" s="10">
        <f t="shared" si="22"/>
        <v>9</v>
      </c>
      <c r="BW7" s="10">
        <v>10</v>
      </c>
      <c r="BX7" s="10">
        <v>1</v>
      </c>
      <c r="BY7" s="10">
        <f t="shared" si="46"/>
        <v>11</v>
      </c>
      <c r="BZ7" s="10">
        <v>7</v>
      </c>
      <c r="CA7" s="10">
        <v>2</v>
      </c>
      <c r="CB7" s="10">
        <f t="shared" si="47"/>
        <v>9</v>
      </c>
      <c r="CC7" s="10">
        <v>7</v>
      </c>
      <c r="CD7" s="10">
        <v>3</v>
      </c>
      <c r="CE7" s="10">
        <f t="shared" si="48"/>
        <v>10</v>
      </c>
      <c r="CF7" s="10">
        <v>14</v>
      </c>
      <c r="CG7" s="10">
        <v>3</v>
      </c>
      <c r="CH7" s="10">
        <f t="shared" si="26"/>
        <v>17</v>
      </c>
      <c r="CI7" s="10">
        <v>11</v>
      </c>
      <c r="CJ7" s="10">
        <v>4</v>
      </c>
      <c r="CK7" s="10">
        <f t="shared" si="27"/>
        <v>15</v>
      </c>
      <c r="CL7" s="10">
        <v>5</v>
      </c>
      <c r="CM7" s="10"/>
      <c r="CN7" s="10">
        <f t="shared" si="28"/>
        <v>5</v>
      </c>
      <c r="CO7" s="10">
        <v>10</v>
      </c>
      <c r="CP7" s="10">
        <v>2</v>
      </c>
      <c r="CQ7" s="10">
        <f t="shared" si="29"/>
        <v>12</v>
      </c>
      <c r="CR7" s="10">
        <v>16</v>
      </c>
      <c r="CS7" s="10">
        <v>2</v>
      </c>
      <c r="CT7" s="10">
        <f t="shared" si="30"/>
        <v>18</v>
      </c>
      <c r="CU7" s="10">
        <f t="shared" si="49"/>
        <v>443</v>
      </c>
      <c r="CV7" s="12">
        <f t="shared" si="31"/>
        <v>5.3879834590124055E-2</v>
      </c>
      <c r="CW7" s="10">
        <f t="shared" si="32"/>
        <v>82</v>
      </c>
      <c r="CX7" s="13">
        <f t="shared" si="33"/>
        <v>0.18510158013544017</v>
      </c>
      <c r="CY7" s="14">
        <v>19</v>
      </c>
      <c r="CZ7" s="15">
        <f t="shared" si="50"/>
        <v>19</v>
      </c>
      <c r="DA7" s="13">
        <f t="shared" si="34"/>
        <v>4.2889390519187359E-2</v>
      </c>
      <c r="DB7" s="17"/>
      <c r="DC7" s="17"/>
      <c r="DD7" s="10"/>
    </row>
    <row r="8" spans="1:108" x14ac:dyDescent="0.25">
      <c r="A8" s="18" t="s">
        <v>21</v>
      </c>
      <c r="B8" s="10">
        <v>30</v>
      </c>
      <c r="C8" s="10" t="s">
        <v>16</v>
      </c>
      <c r="D8" s="11">
        <v>0.55608028335301063</v>
      </c>
      <c r="E8" s="11">
        <v>0.44391971664698937</v>
      </c>
      <c r="F8" s="10">
        <v>6</v>
      </c>
      <c r="G8" s="10">
        <v>17</v>
      </c>
      <c r="H8" s="10">
        <f t="shared" si="0"/>
        <v>23</v>
      </c>
      <c r="I8" s="10">
        <v>2</v>
      </c>
      <c r="J8" s="10"/>
      <c r="K8" s="10">
        <f t="shared" si="1"/>
        <v>2</v>
      </c>
      <c r="L8" s="10">
        <v>4</v>
      </c>
      <c r="M8" s="10">
        <v>4</v>
      </c>
      <c r="N8" s="10">
        <f t="shared" si="35"/>
        <v>8</v>
      </c>
      <c r="O8" s="10">
        <v>12</v>
      </c>
      <c r="P8" s="10">
        <v>3</v>
      </c>
      <c r="Q8" s="10">
        <f t="shared" si="36"/>
        <v>15</v>
      </c>
      <c r="R8" s="10">
        <v>6</v>
      </c>
      <c r="S8" s="10">
        <v>16</v>
      </c>
      <c r="T8" s="10">
        <f t="shared" si="37"/>
        <v>22</v>
      </c>
      <c r="U8" s="10">
        <v>7</v>
      </c>
      <c r="V8" s="10">
        <v>12</v>
      </c>
      <c r="W8" s="10">
        <f t="shared" si="5"/>
        <v>19</v>
      </c>
      <c r="X8" s="10">
        <v>7</v>
      </c>
      <c r="Y8" s="10"/>
      <c r="Z8" s="10">
        <f t="shared" si="38"/>
        <v>7</v>
      </c>
      <c r="AA8" s="10">
        <v>12</v>
      </c>
      <c r="AB8" s="10"/>
      <c r="AC8" s="10">
        <f t="shared" si="39"/>
        <v>12</v>
      </c>
      <c r="AD8" s="10">
        <v>7</v>
      </c>
      <c r="AE8" s="10">
        <v>15</v>
      </c>
      <c r="AF8" s="10">
        <f t="shared" si="8"/>
        <v>22</v>
      </c>
      <c r="AG8" s="10">
        <v>6</v>
      </c>
      <c r="AH8" s="10">
        <v>14</v>
      </c>
      <c r="AI8" s="10">
        <f t="shared" si="40"/>
        <v>20</v>
      </c>
      <c r="AJ8" s="10">
        <v>3</v>
      </c>
      <c r="AK8" s="10">
        <v>11</v>
      </c>
      <c r="AL8" s="10">
        <f t="shared" si="41"/>
        <v>14</v>
      </c>
      <c r="AM8" s="10">
        <v>18</v>
      </c>
      <c r="AN8" s="10">
        <v>11</v>
      </c>
      <c r="AO8" s="10">
        <f t="shared" si="42"/>
        <v>29</v>
      </c>
      <c r="AP8" s="10">
        <v>4</v>
      </c>
      <c r="AQ8" s="10">
        <v>16</v>
      </c>
      <c r="AR8" s="10">
        <f t="shared" si="12"/>
        <v>20</v>
      </c>
      <c r="AS8" s="10">
        <v>6</v>
      </c>
      <c r="AT8" s="10">
        <v>9</v>
      </c>
      <c r="AU8" s="10">
        <f t="shared" si="13"/>
        <v>15</v>
      </c>
      <c r="AV8" s="10">
        <v>5</v>
      </c>
      <c r="AW8" s="10">
        <v>13</v>
      </c>
      <c r="AX8" s="10">
        <f t="shared" si="14"/>
        <v>18</v>
      </c>
      <c r="AY8" s="10">
        <v>8</v>
      </c>
      <c r="AZ8" s="10">
        <v>17</v>
      </c>
      <c r="BA8" s="10">
        <f t="shared" si="15"/>
        <v>25</v>
      </c>
      <c r="BB8" s="10">
        <v>6</v>
      </c>
      <c r="BC8" s="10">
        <v>7</v>
      </c>
      <c r="BD8" s="10">
        <f t="shared" si="43"/>
        <v>13</v>
      </c>
      <c r="BE8" s="10">
        <v>6</v>
      </c>
      <c r="BF8" s="10">
        <v>15</v>
      </c>
      <c r="BG8" s="10">
        <f t="shared" si="44"/>
        <v>21</v>
      </c>
      <c r="BH8" s="10">
        <v>13</v>
      </c>
      <c r="BI8" s="10">
        <v>27</v>
      </c>
      <c r="BJ8" s="10">
        <f t="shared" si="45"/>
        <v>40</v>
      </c>
      <c r="BK8" s="10">
        <v>14</v>
      </c>
      <c r="BL8" s="10">
        <v>26</v>
      </c>
      <c r="BM8" s="10">
        <f t="shared" si="19"/>
        <v>40</v>
      </c>
      <c r="BN8" s="10">
        <v>10</v>
      </c>
      <c r="BO8" s="10">
        <v>30</v>
      </c>
      <c r="BP8" s="10">
        <f t="shared" si="20"/>
        <v>40</v>
      </c>
      <c r="BQ8" s="10">
        <v>6</v>
      </c>
      <c r="BR8" s="10">
        <v>16</v>
      </c>
      <c r="BS8" s="10">
        <f t="shared" si="21"/>
        <v>22</v>
      </c>
      <c r="BT8" s="10"/>
      <c r="BU8" s="10">
        <v>26</v>
      </c>
      <c r="BV8" s="10">
        <f t="shared" si="22"/>
        <v>26</v>
      </c>
      <c r="BW8" s="10">
        <v>3</v>
      </c>
      <c r="BX8" s="10">
        <v>12</v>
      </c>
      <c r="BY8" s="10">
        <f t="shared" si="46"/>
        <v>15</v>
      </c>
      <c r="BZ8" s="10">
        <v>2</v>
      </c>
      <c r="CA8" s="10">
        <v>23</v>
      </c>
      <c r="CB8" s="10">
        <f t="shared" si="47"/>
        <v>25</v>
      </c>
      <c r="CC8" s="10">
        <v>4</v>
      </c>
      <c r="CD8" s="10">
        <v>18</v>
      </c>
      <c r="CE8" s="10">
        <f t="shared" si="48"/>
        <v>22</v>
      </c>
      <c r="CF8" s="10">
        <v>2</v>
      </c>
      <c r="CG8" s="10">
        <v>17</v>
      </c>
      <c r="CH8" s="10">
        <f t="shared" si="26"/>
        <v>19</v>
      </c>
      <c r="CI8" s="10">
        <v>1</v>
      </c>
      <c r="CJ8" s="10">
        <v>16</v>
      </c>
      <c r="CK8" s="10">
        <f t="shared" si="27"/>
        <v>17</v>
      </c>
      <c r="CL8" s="10">
        <v>5</v>
      </c>
      <c r="CM8" s="10"/>
      <c r="CN8" s="10">
        <f t="shared" si="28"/>
        <v>5</v>
      </c>
      <c r="CO8" s="10">
        <v>1</v>
      </c>
      <c r="CP8" s="10">
        <v>16</v>
      </c>
      <c r="CQ8" s="10">
        <f t="shared" si="29"/>
        <v>17</v>
      </c>
      <c r="CR8" s="10">
        <v>7</v>
      </c>
      <c r="CS8" s="10">
        <v>12</v>
      </c>
      <c r="CT8" s="10">
        <f t="shared" si="30"/>
        <v>19</v>
      </c>
      <c r="CU8" s="10">
        <f t="shared" si="49"/>
        <v>612</v>
      </c>
      <c r="CV8" s="12">
        <f t="shared" si="31"/>
        <v>7.4434444174166864E-2</v>
      </c>
      <c r="CW8" s="10">
        <f t="shared" si="32"/>
        <v>34</v>
      </c>
      <c r="CX8" s="13">
        <f t="shared" si="33"/>
        <v>5.5555555555555552E-2</v>
      </c>
      <c r="CY8" s="14">
        <v>5</v>
      </c>
      <c r="CZ8" s="15">
        <f t="shared" si="50"/>
        <v>5</v>
      </c>
      <c r="DA8" s="13">
        <f t="shared" si="34"/>
        <v>8.1699346405228763E-3</v>
      </c>
      <c r="DB8" s="17"/>
      <c r="DC8" s="17"/>
      <c r="DD8" s="10"/>
    </row>
    <row r="9" spans="1:108" x14ac:dyDescent="0.25">
      <c r="A9" s="10" t="s">
        <v>22</v>
      </c>
      <c r="B9" s="10">
        <v>0</v>
      </c>
      <c r="C9" s="10" t="s">
        <v>16</v>
      </c>
      <c r="D9" s="11">
        <v>0.11764705882352941</v>
      </c>
      <c r="E9" s="11">
        <v>0.88235294117647056</v>
      </c>
      <c r="F9" s="10"/>
      <c r="G9" s="10"/>
      <c r="H9" s="10">
        <f t="shared" si="0"/>
        <v>0</v>
      </c>
      <c r="I9" s="10"/>
      <c r="J9" s="10"/>
      <c r="K9" s="10">
        <f t="shared" si="1"/>
        <v>0</v>
      </c>
      <c r="L9" s="10">
        <v>0</v>
      </c>
      <c r="M9" s="10"/>
      <c r="N9" s="10">
        <f t="shared" si="35"/>
        <v>0</v>
      </c>
      <c r="O9" s="10">
        <v>0</v>
      </c>
      <c r="P9" s="10"/>
      <c r="Q9" s="10">
        <f t="shared" si="36"/>
        <v>0</v>
      </c>
      <c r="R9" s="10">
        <v>2</v>
      </c>
      <c r="S9" s="10"/>
      <c r="T9" s="10">
        <f t="shared" si="37"/>
        <v>2</v>
      </c>
      <c r="U9" s="10"/>
      <c r="V9" s="10"/>
      <c r="W9" s="10">
        <f t="shared" si="5"/>
        <v>0</v>
      </c>
      <c r="X9" s="10">
        <v>1</v>
      </c>
      <c r="Y9" s="10"/>
      <c r="Z9" s="10">
        <f t="shared" si="38"/>
        <v>1</v>
      </c>
      <c r="AA9" s="10">
        <v>0</v>
      </c>
      <c r="AB9" s="10"/>
      <c r="AC9" s="10">
        <f t="shared" si="39"/>
        <v>0</v>
      </c>
      <c r="AD9" s="10"/>
      <c r="AE9" s="10"/>
      <c r="AF9" s="10">
        <f t="shared" si="8"/>
        <v>0</v>
      </c>
      <c r="AG9" s="10">
        <v>0</v>
      </c>
      <c r="AH9" s="10"/>
      <c r="AI9" s="10">
        <f t="shared" si="40"/>
        <v>0</v>
      </c>
      <c r="AJ9" s="10">
        <v>2</v>
      </c>
      <c r="AK9" s="10"/>
      <c r="AL9" s="10">
        <f t="shared" si="41"/>
        <v>2</v>
      </c>
      <c r="AM9" s="10">
        <v>0</v>
      </c>
      <c r="AN9" s="10"/>
      <c r="AO9" s="10">
        <f t="shared" si="42"/>
        <v>0</v>
      </c>
      <c r="AP9" s="10"/>
      <c r="AQ9" s="10"/>
      <c r="AR9" s="10">
        <f t="shared" si="12"/>
        <v>0</v>
      </c>
      <c r="AS9" s="10"/>
      <c r="AT9" s="10"/>
      <c r="AU9" s="10">
        <f t="shared" si="13"/>
        <v>0</v>
      </c>
      <c r="AV9" s="10">
        <v>1</v>
      </c>
      <c r="AW9" s="10"/>
      <c r="AX9" s="10">
        <f t="shared" si="14"/>
        <v>1</v>
      </c>
      <c r="AY9" s="10"/>
      <c r="AZ9" s="10"/>
      <c r="BA9" s="10">
        <f t="shared" si="15"/>
        <v>0</v>
      </c>
      <c r="BB9" s="10">
        <v>1</v>
      </c>
      <c r="BC9" s="10"/>
      <c r="BD9" s="10">
        <f t="shared" si="43"/>
        <v>1</v>
      </c>
      <c r="BE9" s="10">
        <v>0</v>
      </c>
      <c r="BF9" s="10"/>
      <c r="BG9" s="10">
        <f t="shared" si="44"/>
        <v>0</v>
      </c>
      <c r="BH9" s="10">
        <v>0</v>
      </c>
      <c r="BI9" s="10"/>
      <c r="BJ9" s="10">
        <f t="shared" si="45"/>
        <v>0</v>
      </c>
      <c r="BK9" s="10">
        <v>1</v>
      </c>
      <c r="BL9" s="10"/>
      <c r="BM9" s="10">
        <f t="shared" si="19"/>
        <v>1</v>
      </c>
      <c r="BN9" s="10"/>
      <c r="BO9" s="10"/>
      <c r="BP9" s="10">
        <f t="shared" si="20"/>
        <v>0</v>
      </c>
      <c r="BQ9" s="10">
        <v>1</v>
      </c>
      <c r="BR9" s="10"/>
      <c r="BS9" s="10">
        <f t="shared" si="21"/>
        <v>1</v>
      </c>
      <c r="BT9" s="10"/>
      <c r="BU9" s="10"/>
      <c r="BV9" s="10">
        <f t="shared" si="22"/>
        <v>0</v>
      </c>
      <c r="BW9" s="10">
        <v>0</v>
      </c>
      <c r="BX9" s="10"/>
      <c r="BY9" s="10">
        <f t="shared" si="46"/>
        <v>0</v>
      </c>
      <c r="BZ9" s="10">
        <v>0</v>
      </c>
      <c r="CA9" s="10"/>
      <c r="CB9" s="10">
        <f t="shared" si="47"/>
        <v>0</v>
      </c>
      <c r="CC9" s="10">
        <v>1</v>
      </c>
      <c r="CD9" s="10"/>
      <c r="CE9" s="10">
        <f t="shared" si="48"/>
        <v>1</v>
      </c>
      <c r="CF9" s="10">
        <v>1</v>
      </c>
      <c r="CG9" s="10"/>
      <c r="CH9" s="10">
        <f t="shared" si="26"/>
        <v>1</v>
      </c>
      <c r="CI9" s="10"/>
      <c r="CJ9" s="10"/>
      <c r="CK9" s="10">
        <f t="shared" si="27"/>
        <v>0</v>
      </c>
      <c r="CL9" s="10">
        <v>1</v>
      </c>
      <c r="CM9" s="10"/>
      <c r="CN9" s="10">
        <f t="shared" si="28"/>
        <v>1</v>
      </c>
      <c r="CO9" s="10">
        <v>1</v>
      </c>
      <c r="CP9" s="10"/>
      <c r="CQ9" s="10">
        <f t="shared" si="29"/>
        <v>1</v>
      </c>
      <c r="CR9" s="10"/>
      <c r="CS9" s="10"/>
      <c r="CT9" s="10">
        <f t="shared" si="30"/>
        <v>0</v>
      </c>
      <c r="CU9" s="10">
        <f t="shared" si="49"/>
        <v>13</v>
      </c>
      <c r="CV9" s="12">
        <f t="shared" si="31"/>
        <v>1.5811238141571393E-3</v>
      </c>
      <c r="CW9" s="10">
        <f t="shared" si="32"/>
        <v>0</v>
      </c>
      <c r="CX9" s="13">
        <f t="shared" si="33"/>
        <v>0</v>
      </c>
      <c r="CY9" s="14"/>
      <c r="CZ9" s="15">
        <f t="shared" si="50"/>
        <v>0</v>
      </c>
      <c r="DA9" s="13">
        <f t="shared" si="34"/>
        <v>0</v>
      </c>
      <c r="DB9" s="17"/>
      <c r="DC9" s="17"/>
      <c r="DD9" s="10"/>
    </row>
    <row r="10" spans="1:108" x14ac:dyDescent="0.25">
      <c r="A10" s="18" t="s">
        <v>23</v>
      </c>
      <c r="B10" s="10">
        <v>35</v>
      </c>
      <c r="C10" s="10" t="s">
        <v>16</v>
      </c>
      <c r="D10" s="11">
        <v>0.76833696441539578</v>
      </c>
      <c r="E10" s="11">
        <v>0.23166303558460422</v>
      </c>
      <c r="F10" s="10">
        <v>17</v>
      </c>
      <c r="G10" s="10">
        <v>8</v>
      </c>
      <c r="H10" s="10">
        <f t="shared" si="0"/>
        <v>25</v>
      </c>
      <c r="I10" s="10">
        <v>15</v>
      </c>
      <c r="J10" s="10"/>
      <c r="K10" s="10">
        <f t="shared" si="1"/>
        <v>15</v>
      </c>
      <c r="L10" s="10">
        <v>18</v>
      </c>
      <c r="M10" s="10">
        <v>4</v>
      </c>
      <c r="N10" s="10">
        <f t="shared" si="35"/>
        <v>22</v>
      </c>
      <c r="O10" s="10">
        <v>16</v>
      </c>
      <c r="P10" s="10">
        <v>4</v>
      </c>
      <c r="Q10" s="10">
        <f t="shared" si="36"/>
        <v>20</v>
      </c>
      <c r="R10" s="10">
        <v>28</v>
      </c>
      <c r="S10" s="10">
        <v>6</v>
      </c>
      <c r="T10" s="10">
        <f t="shared" si="37"/>
        <v>34</v>
      </c>
      <c r="U10" s="10">
        <v>21</v>
      </c>
      <c r="V10" s="10">
        <v>8</v>
      </c>
      <c r="W10" s="10">
        <f t="shared" si="5"/>
        <v>29</v>
      </c>
      <c r="X10" s="10">
        <v>22</v>
      </c>
      <c r="Y10" s="10"/>
      <c r="Z10" s="10">
        <f t="shared" si="38"/>
        <v>22</v>
      </c>
      <c r="AA10" s="10">
        <v>21</v>
      </c>
      <c r="AB10" s="10"/>
      <c r="AC10" s="10">
        <f t="shared" si="39"/>
        <v>21</v>
      </c>
      <c r="AD10" s="10">
        <v>20</v>
      </c>
      <c r="AE10" s="10">
        <v>4</v>
      </c>
      <c r="AF10" s="10">
        <f t="shared" si="8"/>
        <v>24</v>
      </c>
      <c r="AG10" s="10">
        <v>13</v>
      </c>
      <c r="AH10" s="10">
        <v>10</v>
      </c>
      <c r="AI10" s="10">
        <f t="shared" si="40"/>
        <v>23</v>
      </c>
      <c r="AJ10" s="10">
        <v>20</v>
      </c>
      <c r="AK10" s="10">
        <v>6</v>
      </c>
      <c r="AL10" s="10">
        <f t="shared" si="41"/>
        <v>26</v>
      </c>
      <c r="AM10" s="10">
        <v>14</v>
      </c>
      <c r="AN10" s="10">
        <v>6</v>
      </c>
      <c r="AO10" s="10">
        <f t="shared" si="42"/>
        <v>20</v>
      </c>
      <c r="AP10" s="10">
        <v>12</v>
      </c>
      <c r="AQ10" s="10">
        <v>11</v>
      </c>
      <c r="AR10" s="10">
        <f t="shared" si="12"/>
        <v>23</v>
      </c>
      <c r="AS10" s="10">
        <v>8</v>
      </c>
      <c r="AT10" s="10">
        <v>5</v>
      </c>
      <c r="AU10" s="10">
        <f t="shared" si="13"/>
        <v>13</v>
      </c>
      <c r="AV10" s="10">
        <v>11</v>
      </c>
      <c r="AW10" s="10">
        <v>6</v>
      </c>
      <c r="AX10" s="10">
        <f t="shared" si="14"/>
        <v>17</v>
      </c>
      <c r="AY10" s="10">
        <v>7</v>
      </c>
      <c r="AZ10" s="10">
        <v>4</v>
      </c>
      <c r="BA10" s="10">
        <f t="shared" si="15"/>
        <v>11</v>
      </c>
      <c r="BB10" s="10">
        <v>9</v>
      </c>
      <c r="BC10" s="10">
        <v>5</v>
      </c>
      <c r="BD10" s="10">
        <f t="shared" si="43"/>
        <v>14</v>
      </c>
      <c r="BE10" s="10">
        <v>10</v>
      </c>
      <c r="BF10" s="10">
        <v>5</v>
      </c>
      <c r="BG10" s="10">
        <f t="shared" si="44"/>
        <v>15</v>
      </c>
      <c r="BH10" s="10">
        <v>16</v>
      </c>
      <c r="BI10" s="10">
        <v>6</v>
      </c>
      <c r="BJ10" s="10">
        <f t="shared" si="45"/>
        <v>22</v>
      </c>
      <c r="BK10" s="10">
        <v>22</v>
      </c>
      <c r="BL10" s="10">
        <v>6</v>
      </c>
      <c r="BM10" s="10">
        <f t="shared" si="19"/>
        <v>28</v>
      </c>
      <c r="BN10" s="10">
        <v>30</v>
      </c>
      <c r="BO10" s="10">
        <v>8</v>
      </c>
      <c r="BP10" s="10">
        <f t="shared" si="20"/>
        <v>38</v>
      </c>
      <c r="BQ10" s="10">
        <v>30</v>
      </c>
      <c r="BR10" s="10">
        <v>7</v>
      </c>
      <c r="BS10" s="10">
        <f t="shared" si="21"/>
        <v>37</v>
      </c>
      <c r="BT10" s="10">
        <v>28</v>
      </c>
      <c r="BU10" s="10">
        <v>6</v>
      </c>
      <c r="BV10" s="10">
        <f t="shared" si="22"/>
        <v>34</v>
      </c>
      <c r="BW10" s="10">
        <v>25</v>
      </c>
      <c r="BX10" s="10">
        <v>6</v>
      </c>
      <c r="BY10" s="10">
        <f t="shared" si="46"/>
        <v>31</v>
      </c>
      <c r="BZ10" s="10">
        <v>23</v>
      </c>
      <c r="CA10" s="10">
        <v>5</v>
      </c>
      <c r="CB10" s="10">
        <f t="shared" si="47"/>
        <v>28</v>
      </c>
      <c r="CC10" s="10">
        <v>41</v>
      </c>
      <c r="CD10" s="10">
        <v>8</v>
      </c>
      <c r="CE10" s="10">
        <f t="shared" si="48"/>
        <v>49</v>
      </c>
      <c r="CF10" s="10">
        <v>40</v>
      </c>
      <c r="CG10" s="10">
        <v>5</v>
      </c>
      <c r="CH10" s="10">
        <f t="shared" si="26"/>
        <v>45</v>
      </c>
      <c r="CI10" s="10">
        <v>39</v>
      </c>
      <c r="CJ10" s="10">
        <v>6</v>
      </c>
      <c r="CK10" s="10">
        <f t="shared" si="27"/>
        <v>45</v>
      </c>
      <c r="CL10" s="10">
        <v>26</v>
      </c>
      <c r="CM10" s="10"/>
      <c r="CN10" s="10">
        <f t="shared" si="28"/>
        <v>26</v>
      </c>
      <c r="CO10" s="10">
        <v>36</v>
      </c>
      <c r="CP10" s="10">
        <v>11</v>
      </c>
      <c r="CQ10" s="10">
        <f t="shared" si="29"/>
        <v>47</v>
      </c>
      <c r="CR10" s="10">
        <v>42</v>
      </c>
      <c r="CS10" s="10">
        <v>11</v>
      </c>
      <c r="CT10" s="10">
        <f t="shared" si="30"/>
        <v>53</v>
      </c>
      <c r="CU10" s="10">
        <f t="shared" si="49"/>
        <v>857</v>
      </c>
      <c r="CV10" s="12">
        <f t="shared" si="31"/>
        <v>0.10423254682558988</v>
      </c>
      <c r="CW10" s="10">
        <f t="shared" si="32"/>
        <v>0</v>
      </c>
      <c r="CX10" s="13">
        <f t="shared" si="33"/>
        <v>0</v>
      </c>
      <c r="CY10" s="14">
        <v>11</v>
      </c>
      <c r="CZ10" s="15">
        <f t="shared" si="50"/>
        <v>11</v>
      </c>
      <c r="DA10" s="13">
        <f t="shared" si="34"/>
        <v>1.2835472578763127E-2</v>
      </c>
      <c r="DB10" s="17"/>
      <c r="DC10" s="17"/>
      <c r="DD10" s="17"/>
    </row>
    <row r="11" spans="1:108" x14ac:dyDescent="0.25">
      <c r="A11" s="10" t="s">
        <v>24</v>
      </c>
      <c r="B11" s="10">
        <v>6</v>
      </c>
      <c r="C11" s="10" t="s">
        <v>16</v>
      </c>
      <c r="D11" s="11">
        <v>0.41358024691358025</v>
      </c>
      <c r="E11" s="11">
        <v>0.5864197530864198</v>
      </c>
      <c r="F11" s="10"/>
      <c r="G11" s="10"/>
      <c r="H11" s="10">
        <f t="shared" si="0"/>
        <v>0</v>
      </c>
      <c r="I11" s="10"/>
      <c r="J11" s="10"/>
      <c r="K11" s="10">
        <f t="shared" si="1"/>
        <v>0</v>
      </c>
      <c r="L11" s="10">
        <v>0</v>
      </c>
      <c r="M11" s="10"/>
      <c r="N11" s="10">
        <f t="shared" si="35"/>
        <v>0</v>
      </c>
      <c r="O11" s="10">
        <v>0</v>
      </c>
      <c r="P11" s="10"/>
      <c r="Q11" s="10">
        <f t="shared" si="36"/>
        <v>0</v>
      </c>
      <c r="R11" s="10">
        <v>2</v>
      </c>
      <c r="S11" s="10"/>
      <c r="T11" s="10">
        <f t="shared" si="37"/>
        <v>2</v>
      </c>
      <c r="U11" s="10"/>
      <c r="V11" s="10"/>
      <c r="W11" s="10">
        <f t="shared" si="5"/>
        <v>0</v>
      </c>
      <c r="X11" s="10"/>
      <c r="Y11" s="10"/>
      <c r="Z11" s="10">
        <f t="shared" si="38"/>
        <v>0</v>
      </c>
      <c r="AA11" s="10"/>
      <c r="AB11" s="10"/>
      <c r="AC11" s="10">
        <f t="shared" si="39"/>
        <v>0</v>
      </c>
      <c r="AD11" s="10"/>
      <c r="AE11" s="10"/>
      <c r="AF11" s="10">
        <f t="shared" si="8"/>
        <v>0</v>
      </c>
      <c r="AG11" s="10">
        <v>1</v>
      </c>
      <c r="AH11" s="10"/>
      <c r="AI11" s="10">
        <f t="shared" si="40"/>
        <v>1</v>
      </c>
      <c r="AJ11" s="10">
        <v>0</v>
      </c>
      <c r="AK11" s="10"/>
      <c r="AL11" s="10">
        <f t="shared" si="41"/>
        <v>0</v>
      </c>
      <c r="AM11" s="10">
        <v>0</v>
      </c>
      <c r="AN11" s="10"/>
      <c r="AO11" s="10">
        <f t="shared" si="42"/>
        <v>0</v>
      </c>
      <c r="AP11" s="10"/>
      <c r="AQ11" s="10"/>
      <c r="AR11" s="10">
        <f t="shared" si="12"/>
        <v>0</v>
      </c>
      <c r="AS11" s="10">
        <v>1</v>
      </c>
      <c r="AT11" s="10"/>
      <c r="AU11" s="10">
        <f t="shared" si="13"/>
        <v>1</v>
      </c>
      <c r="AV11" s="10"/>
      <c r="AW11" s="10"/>
      <c r="AX11" s="10">
        <f t="shared" si="14"/>
        <v>0</v>
      </c>
      <c r="AY11" s="10"/>
      <c r="AZ11" s="10"/>
      <c r="BA11" s="10">
        <f t="shared" si="15"/>
        <v>0</v>
      </c>
      <c r="BB11" s="10">
        <v>1</v>
      </c>
      <c r="BC11" s="10"/>
      <c r="BD11" s="10">
        <f t="shared" si="43"/>
        <v>1</v>
      </c>
      <c r="BE11" s="10">
        <v>0</v>
      </c>
      <c r="BF11" s="10"/>
      <c r="BG11" s="10">
        <f t="shared" si="44"/>
        <v>0</v>
      </c>
      <c r="BH11" s="10">
        <v>0</v>
      </c>
      <c r="BI11" s="10"/>
      <c r="BJ11" s="10">
        <f t="shared" si="45"/>
        <v>0</v>
      </c>
      <c r="BK11" s="10"/>
      <c r="BL11" s="10"/>
      <c r="BM11" s="10">
        <f t="shared" si="19"/>
        <v>0</v>
      </c>
      <c r="BN11" s="10"/>
      <c r="BO11" s="10"/>
      <c r="BP11" s="10">
        <f t="shared" si="20"/>
        <v>0</v>
      </c>
      <c r="BQ11" s="10"/>
      <c r="BR11" s="10"/>
      <c r="BS11" s="10">
        <f t="shared" si="21"/>
        <v>0</v>
      </c>
      <c r="BT11" s="10"/>
      <c r="BU11" s="10"/>
      <c r="BV11" s="10">
        <f t="shared" si="22"/>
        <v>0</v>
      </c>
      <c r="BW11" s="10"/>
      <c r="BX11" s="10"/>
      <c r="BY11" s="10">
        <f t="shared" si="46"/>
        <v>0</v>
      </c>
      <c r="BZ11" s="10"/>
      <c r="CA11" s="10"/>
      <c r="CB11" s="10">
        <f t="shared" si="47"/>
        <v>0</v>
      </c>
      <c r="CC11" s="10"/>
      <c r="CD11" s="10"/>
      <c r="CE11" s="10">
        <f t="shared" si="48"/>
        <v>0</v>
      </c>
      <c r="CF11" s="10">
        <v>1</v>
      </c>
      <c r="CG11" s="10"/>
      <c r="CH11" s="10">
        <f t="shared" si="26"/>
        <v>1</v>
      </c>
      <c r="CI11" s="10">
        <v>1</v>
      </c>
      <c r="CJ11" s="10"/>
      <c r="CK11" s="10">
        <f t="shared" si="27"/>
        <v>1</v>
      </c>
      <c r="CL11" s="10"/>
      <c r="CM11" s="10"/>
      <c r="CN11" s="10">
        <f t="shared" si="28"/>
        <v>0</v>
      </c>
      <c r="CO11" s="10"/>
      <c r="CP11" s="10"/>
      <c r="CQ11" s="10">
        <f t="shared" si="29"/>
        <v>0</v>
      </c>
      <c r="CR11" s="10">
        <v>1</v>
      </c>
      <c r="CS11" s="10"/>
      <c r="CT11" s="10">
        <f t="shared" si="30"/>
        <v>1</v>
      </c>
      <c r="CU11" s="10">
        <f t="shared" si="49"/>
        <v>8</v>
      </c>
      <c r="CV11" s="12">
        <f t="shared" si="31"/>
        <v>9.7299927025054731E-4</v>
      </c>
      <c r="CW11" s="10">
        <f t="shared" si="32"/>
        <v>0</v>
      </c>
      <c r="CX11" s="13">
        <f t="shared" si="33"/>
        <v>0</v>
      </c>
      <c r="CY11" s="14"/>
      <c r="CZ11" s="15">
        <f t="shared" si="50"/>
        <v>0</v>
      </c>
      <c r="DA11" s="13">
        <f t="shared" si="34"/>
        <v>0</v>
      </c>
      <c r="DB11" s="17"/>
      <c r="DC11" s="17"/>
      <c r="DD11" s="17"/>
    </row>
    <row r="12" spans="1:108" x14ac:dyDescent="0.25">
      <c r="A12" s="10" t="s">
        <v>25</v>
      </c>
      <c r="B12" s="10">
        <v>2</v>
      </c>
      <c r="C12" s="10" t="s">
        <v>16</v>
      </c>
      <c r="D12" s="11">
        <v>0.97222222222222221</v>
      </c>
      <c r="E12" s="11">
        <v>2.7777777777777776E-2</v>
      </c>
      <c r="F12" s="10"/>
      <c r="G12" s="10"/>
      <c r="H12" s="10">
        <f t="shared" si="0"/>
        <v>0</v>
      </c>
      <c r="I12" s="10">
        <v>1</v>
      </c>
      <c r="J12" s="10"/>
      <c r="K12" s="10">
        <f t="shared" si="1"/>
        <v>1</v>
      </c>
      <c r="L12" s="10">
        <v>1</v>
      </c>
      <c r="M12" s="10"/>
      <c r="N12" s="10">
        <f t="shared" si="35"/>
        <v>1</v>
      </c>
      <c r="O12" s="10">
        <v>1</v>
      </c>
      <c r="P12" s="10"/>
      <c r="Q12" s="10">
        <f t="shared" si="36"/>
        <v>1</v>
      </c>
      <c r="R12" s="10">
        <v>1</v>
      </c>
      <c r="S12" s="10"/>
      <c r="T12" s="10">
        <f t="shared" si="37"/>
        <v>1</v>
      </c>
      <c r="U12" s="10">
        <v>1</v>
      </c>
      <c r="V12" s="10"/>
      <c r="W12" s="10">
        <f t="shared" si="5"/>
        <v>1</v>
      </c>
      <c r="X12" s="10">
        <v>1</v>
      </c>
      <c r="Y12" s="10"/>
      <c r="Z12" s="10">
        <f t="shared" si="38"/>
        <v>1</v>
      </c>
      <c r="AA12" s="10">
        <v>0</v>
      </c>
      <c r="AB12" s="10"/>
      <c r="AC12" s="10">
        <f t="shared" si="39"/>
        <v>0</v>
      </c>
      <c r="AD12" s="10">
        <v>1</v>
      </c>
      <c r="AE12" s="10"/>
      <c r="AF12" s="10">
        <f t="shared" si="8"/>
        <v>1</v>
      </c>
      <c r="AG12" s="10">
        <v>1</v>
      </c>
      <c r="AH12" s="10"/>
      <c r="AI12" s="10">
        <f t="shared" si="40"/>
        <v>1</v>
      </c>
      <c r="AJ12" s="10">
        <v>1</v>
      </c>
      <c r="AK12" s="10"/>
      <c r="AL12" s="10">
        <f t="shared" si="41"/>
        <v>1</v>
      </c>
      <c r="AM12" s="10">
        <v>2</v>
      </c>
      <c r="AN12" s="10"/>
      <c r="AO12" s="10">
        <f t="shared" si="42"/>
        <v>2</v>
      </c>
      <c r="AP12" s="10">
        <v>2</v>
      </c>
      <c r="AQ12" s="10"/>
      <c r="AR12" s="10">
        <f t="shared" si="12"/>
        <v>2</v>
      </c>
      <c r="AS12" s="10"/>
      <c r="AT12" s="10"/>
      <c r="AU12" s="10">
        <f t="shared" si="13"/>
        <v>0</v>
      </c>
      <c r="AV12" s="10">
        <v>1</v>
      </c>
      <c r="AW12" s="10"/>
      <c r="AX12" s="10">
        <f t="shared" si="14"/>
        <v>1</v>
      </c>
      <c r="AY12" s="10">
        <v>1</v>
      </c>
      <c r="AZ12" s="10"/>
      <c r="BA12" s="10">
        <f t="shared" si="15"/>
        <v>1</v>
      </c>
      <c r="BB12" s="10">
        <v>1</v>
      </c>
      <c r="BC12" s="10"/>
      <c r="BD12" s="10">
        <f t="shared" si="43"/>
        <v>1</v>
      </c>
      <c r="BE12" s="10">
        <v>2</v>
      </c>
      <c r="BF12" s="10"/>
      <c r="BG12" s="10">
        <f t="shared" si="44"/>
        <v>2</v>
      </c>
      <c r="BH12" s="10">
        <v>1</v>
      </c>
      <c r="BI12" s="10"/>
      <c r="BJ12" s="10">
        <f t="shared" si="45"/>
        <v>1</v>
      </c>
      <c r="BK12" s="10"/>
      <c r="BL12" s="10"/>
      <c r="BM12" s="10">
        <f t="shared" si="19"/>
        <v>0</v>
      </c>
      <c r="BN12" s="10">
        <v>1</v>
      </c>
      <c r="BO12" s="10"/>
      <c r="BP12" s="10">
        <f t="shared" si="20"/>
        <v>1</v>
      </c>
      <c r="BQ12" s="10"/>
      <c r="BR12" s="10"/>
      <c r="BS12" s="10">
        <f t="shared" si="21"/>
        <v>0</v>
      </c>
      <c r="BT12" s="10"/>
      <c r="BU12" s="10"/>
      <c r="BV12" s="10">
        <f t="shared" si="22"/>
        <v>0</v>
      </c>
      <c r="BW12" s="10">
        <v>2</v>
      </c>
      <c r="BX12" s="10"/>
      <c r="BY12" s="10">
        <f t="shared" si="46"/>
        <v>2</v>
      </c>
      <c r="BZ12" s="10">
        <v>0</v>
      </c>
      <c r="CA12" s="10"/>
      <c r="CB12" s="10">
        <f t="shared" si="47"/>
        <v>0</v>
      </c>
      <c r="CC12" s="10">
        <v>0</v>
      </c>
      <c r="CD12" s="10"/>
      <c r="CE12" s="10">
        <f t="shared" si="48"/>
        <v>0</v>
      </c>
      <c r="CF12" s="10">
        <v>1</v>
      </c>
      <c r="CG12" s="10"/>
      <c r="CH12" s="10">
        <f t="shared" si="26"/>
        <v>1</v>
      </c>
      <c r="CI12" s="10"/>
      <c r="CJ12" s="10"/>
      <c r="CK12" s="10">
        <f t="shared" si="27"/>
        <v>0</v>
      </c>
      <c r="CL12" s="10"/>
      <c r="CM12" s="10"/>
      <c r="CN12" s="10">
        <f t="shared" si="28"/>
        <v>0</v>
      </c>
      <c r="CO12" s="10">
        <v>2</v>
      </c>
      <c r="CP12" s="10"/>
      <c r="CQ12" s="10">
        <f t="shared" si="29"/>
        <v>2</v>
      </c>
      <c r="CR12" s="10"/>
      <c r="CS12" s="10"/>
      <c r="CT12" s="10">
        <f t="shared" si="30"/>
        <v>0</v>
      </c>
      <c r="CU12" s="10">
        <f t="shared" si="49"/>
        <v>25</v>
      </c>
      <c r="CV12" s="12">
        <f t="shared" si="31"/>
        <v>3.0406227195329603E-3</v>
      </c>
      <c r="CW12" s="10">
        <f t="shared" si="32"/>
        <v>0</v>
      </c>
      <c r="CX12" s="13">
        <f t="shared" si="33"/>
        <v>0</v>
      </c>
      <c r="CY12" s="14"/>
      <c r="CZ12" s="15">
        <f t="shared" si="50"/>
        <v>0</v>
      </c>
      <c r="DA12" s="13">
        <f t="shared" si="34"/>
        <v>0</v>
      </c>
      <c r="DB12" s="19"/>
      <c r="DC12" s="19"/>
      <c r="DD12" s="19"/>
    </row>
    <row r="13" spans="1:108" x14ac:dyDescent="0.25">
      <c r="A13" s="9" t="s">
        <v>26</v>
      </c>
      <c r="B13" s="10">
        <v>6</v>
      </c>
      <c r="C13" s="10" t="s">
        <v>16</v>
      </c>
      <c r="D13" s="11">
        <v>0.86315789473684212</v>
      </c>
      <c r="E13" s="11">
        <v>0.1368421052631579</v>
      </c>
      <c r="F13" s="10"/>
      <c r="G13" s="10">
        <v>1</v>
      </c>
      <c r="H13" s="10">
        <f t="shared" si="0"/>
        <v>1</v>
      </c>
      <c r="I13" s="10"/>
      <c r="J13" s="10"/>
      <c r="K13" s="10">
        <f t="shared" si="1"/>
        <v>0</v>
      </c>
      <c r="L13" s="10">
        <v>1</v>
      </c>
      <c r="M13" s="10">
        <v>0</v>
      </c>
      <c r="N13" s="10">
        <f t="shared" si="35"/>
        <v>1</v>
      </c>
      <c r="O13" s="10">
        <v>2</v>
      </c>
      <c r="P13" s="10">
        <v>0</v>
      </c>
      <c r="Q13" s="10">
        <f t="shared" si="36"/>
        <v>2</v>
      </c>
      <c r="R13" s="10">
        <v>6</v>
      </c>
      <c r="S13" s="10">
        <v>1</v>
      </c>
      <c r="T13" s="10">
        <f t="shared" si="37"/>
        <v>7</v>
      </c>
      <c r="U13" s="10">
        <v>3</v>
      </c>
      <c r="V13" s="10">
        <v>1</v>
      </c>
      <c r="W13" s="10">
        <f t="shared" si="5"/>
        <v>4</v>
      </c>
      <c r="X13" s="10">
        <v>3</v>
      </c>
      <c r="Y13" s="10"/>
      <c r="Z13" s="10">
        <f t="shared" si="38"/>
        <v>3</v>
      </c>
      <c r="AA13" s="10">
        <v>6</v>
      </c>
      <c r="AB13" s="10"/>
      <c r="AC13" s="10">
        <f t="shared" si="39"/>
        <v>6</v>
      </c>
      <c r="AD13" s="10"/>
      <c r="AE13" s="10"/>
      <c r="AF13" s="10">
        <f t="shared" si="8"/>
        <v>0</v>
      </c>
      <c r="AG13" s="10">
        <v>3</v>
      </c>
      <c r="AH13" s="10">
        <v>0</v>
      </c>
      <c r="AI13" s="10">
        <f t="shared" si="40"/>
        <v>3</v>
      </c>
      <c r="AJ13" s="10">
        <v>6</v>
      </c>
      <c r="AK13" s="10">
        <v>2</v>
      </c>
      <c r="AL13" s="10">
        <f t="shared" si="41"/>
        <v>8</v>
      </c>
      <c r="AM13" s="10">
        <v>6</v>
      </c>
      <c r="AN13" s="10">
        <v>0</v>
      </c>
      <c r="AO13" s="10">
        <f t="shared" si="42"/>
        <v>6</v>
      </c>
      <c r="AP13" s="10">
        <v>2</v>
      </c>
      <c r="AQ13" s="10">
        <v>1</v>
      </c>
      <c r="AR13" s="10">
        <f t="shared" si="12"/>
        <v>3</v>
      </c>
      <c r="AS13" s="10">
        <v>3</v>
      </c>
      <c r="AT13" s="10"/>
      <c r="AU13" s="10">
        <f t="shared" si="13"/>
        <v>3</v>
      </c>
      <c r="AV13" s="10">
        <v>2</v>
      </c>
      <c r="AW13" s="10">
        <v>1</v>
      </c>
      <c r="AX13" s="10">
        <f t="shared" si="14"/>
        <v>3</v>
      </c>
      <c r="AY13" s="10"/>
      <c r="AZ13" s="10"/>
      <c r="BA13" s="10">
        <f t="shared" si="15"/>
        <v>0</v>
      </c>
      <c r="BB13" s="10">
        <v>9</v>
      </c>
      <c r="BC13" s="10">
        <v>0</v>
      </c>
      <c r="BD13" s="10">
        <f t="shared" si="43"/>
        <v>9</v>
      </c>
      <c r="BE13" s="10">
        <v>5</v>
      </c>
      <c r="BF13" s="10">
        <v>1</v>
      </c>
      <c r="BG13" s="10">
        <f t="shared" si="44"/>
        <v>6</v>
      </c>
      <c r="BH13" s="10">
        <v>7</v>
      </c>
      <c r="BI13" s="10">
        <v>0</v>
      </c>
      <c r="BJ13" s="10">
        <f t="shared" si="45"/>
        <v>7</v>
      </c>
      <c r="BK13" s="10">
        <v>4</v>
      </c>
      <c r="BL13" s="10"/>
      <c r="BM13" s="10">
        <f t="shared" si="19"/>
        <v>4</v>
      </c>
      <c r="BN13" s="10">
        <v>5</v>
      </c>
      <c r="BO13" s="10">
        <v>3</v>
      </c>
      <c r="BP13" s="10">
        <f t="shared" si="20"/>
        <v>8</v>
      </c>
      <c r="BQ13" s="10">
        <v>3</v>
      </c>
      <c r="BR13" s="10">
        <v>1</v>
      </c>
      <c r="BS13" s="10">
        <f t="shared" si="21"/>
        <v>4</v>
      </c>
      <c r="BT13" s="10">
        <v>5</v>
      </c>
      <c r="BU13" s="10"/>
      <c r="BV13" s="10">
        <f t="shared" si="22"/>
        <v>5</v>
      </c>
      <c r="BW13" s="10">
        <v>5</v>
      </c>
      <c r="BX13" s="10">
        <v>1</v>
      </c>
      <c r="BY13" s="10">
        <f t="shared" si="46"/>
        <v>6</v>
      </c>
      <c r="BZ13" s="10">
        <v>3</v>
      </c>
      <c r="CA13" s="10">
        <v>1</v>
      </c>
      <c r="CB13" s="10">
        <f t="shared" si="47"/>
        <v>4</v>
      </c>
      <c r="CC13" s="10">
        <v>6</v>
      </c>
      <c r="CD13" s="10">
        <v>1</v>
      </c>
      <c r="CE13" s="10">
        <f t="shared" si="48"/>
        <v>7</v>
      </c>
      <c r="CF13" s="10">
        <v>9</v>
      </c>
      <c r="CG13" s="10">
        <v>1</v>
      </c>
      <c r="CH13" s="10">
        <f t="shared" si="26"/>
        <v>10</v>
      </c>
      <c r="CI13" s="10">
        <v>3</v>
      </c>
      <c r="CJ13" s="10">
        <v>1</v>
      </c>
      <c r="CK13" s="10">
        <f t="shared" si="27"/>
        <v>4</v>
      </c>
      <c r="CL13" s="10">
        <v>3</v>
      </c>
      <c r="CM13" s="10"/>
      <c r="CN13" s="10">
        <f t="shared" si="28"/>
        <v>3</v>
      </c>
      <c r="CO13" s="10">
        <v>5</v>
      </c>
      <c r="CP13" s="10"/>
      <c r="CQ13" s="10">
        <f t="shared" si="29"/>
        <v>5</v>
      </c>
      <c r="CR13" s="10">
        <v>7</v>
      </c>
      <c r="CS13" s="10">
        <v>2</v>
      </c>
      <c r="CT13" s="10">
        <f t="shared" si="30"/>
        <v>9</v>
      </c>
      <c r="CU13" s="10">
        <f t="shared" si="49"/>
        <v>141</v>
      </c>
      <c r="CV13" s="12">
        <f t="shared" si="31"/>
        <v>1.7149112138165896E-2</v>
      </c>
      <c r="CW13" s="10">
        <f t="shared" si="32"/>
        <v>52</v>
      </c>
      <c r="CX13" s="13">
        <f t="shared" si="33"/>
        <v>0.36879432624113473</v>
      </c>
      <c r="CY13" s="14">
        <v>1</v>
      </c>
      <c r="CZ13" s="15">
        <f t="shared" si="50"/>
        <v>1</v>
      </c>
      <c r="DA13" s="13">
        <f t="shared" si="34"/>
        <v>7.0921985815602835E-3</v>
      </c>
      <c r="DB13" s="19"/>
      <c r="DC13" s="19"/>
      <c r="DD13" s="19"/>
    </row>
    <row r="14" spans="1:108" x14ac:dyDescent="0.25">
      <c r="A14" s="16" t="s">
        <v>27</v>
      </c>
      <c r="B14" s="10">
        <v>5</v>
      </c>
      <c r="C14" s="10" t="s">
        <v>16</v>
      </c>
      <c r="D14" s="11"/>
      <c r="E14" s="11"/>
      <c r="F14" s="10">
        <v>2</v>
      </c>
      <c r="G14" s="10"/>
      <c r="H14" s="10">
        <f t="shared" si="0"/>
        <v>2</v>
      </c>
      <c r="I14" s="10">
        <v>1</v>
      </c>
      <c r="J14" s="10"/>
      <c r="K14" s="10">
        <f t="shared" si="1"/>
        <v>1</v>
      </c>
      <c r="L14" s="10">
        <v>0</v>
      </c>
      <c r="M14" s="10"/>
      <c r="N14" s="10">
        <f t="shared" si="35"/>
        <v>0</v>
      </c>
      <c r="O14" s="10">
        <v>2</v>
      </c>
      <c r="P14" s="10"/>
      <c r="Q14" s="10">
        <f t="shared" si="36"/>
        <v>2</v>
      </c>
      <c r="R14" s="10">
        <v>1</v>
      </c>
      <c r="S14" s="10"/>
      <c r="T14" s="10">
        <f t="shared" si="37"/>
        <v>1</v>
      </c>
      <c r="U14" s="10">
        <v>2</v>
      </c>
      <c r="V14" s="10"/>
      <c r="W14" s="10">
        <f t="shared" si="5"/>
        <v>2</v>
      </c>
      <c r="X14" s="10">
        <v>2</v>
      </c>
      <c r="Y14" s="10"/>
      <c r="Z14" s="10">
        <f t="shared" si="38"/>
        <v>2</v>
      </c>
      <c r="AA14" s="10">
        <v>1</v>
      </c>
      <c r="AB14" s="10"/>
      <c r="AC14" s="10">
        <f t="shared" si="39"/>
        <v>1</v>
      </c>
      <c r="AD14" s="10"/>
      <c r="AE14" s="10"/>
      <c r="AF14" s="10">
        <f t="shared" si="8"/>
        <v>0</v>
      </c>
      <c r="AG14" s="10">
        <v>2</v>
      </c>
      <c r="AH14" s="10"/>
      <c r="AI14" s="10">
        <f t="shared" si="40"/>
        <v>2</v>
      </c>
      <c r="AJ14" s="10">
        <v>2</v>
      </c>
      <c r="AK14" s="10"/>
      <c r="AL14" s="10">
        <f t="shared" si="41"/>
        <v>2</v>
      </c>
      <c r="AM14" s="10">
        <v>0</v>
      </c>
      <c r="AN14" s="10"/>
      <c r="AO14" s="10">
        <f t="shared" si="42"/>
        <v>0</v>
      </c>
      <c r="AP14" s="10">
        <v>1</v>
      </c>
      <c r="AQ14" s="10"/>
      <c r="AR14" s="10">
        <f t="shared" si="12"/>
        <v>1</v>
      </c>
      <c r="AS14" s="10"/>
      <c r="AT14" s="10"/>
      <c r="AU14" s="10">
        <f t="shared" si="13"/>
        <v>0</v>
      </c>
      <c r="AV14" s="10">
        <v>1</v>
      </c>
      <c r="AW14" s="10"/>
      <c r="AX14" s="10">
        <f t="shared" si="14"/>
        <v>1</v>
      </c>
      <c r="AY14" s="10"/>
      <c r="AZ14" s="10"/>
      <c r="BA14" s="10">
        <f t="shared" si="15"/>
        <v>0</v>
      </c>
      <c r="BB14" s="10">
        <v>0</v>
      </c>
      <c r="BC14" s="10"/>
      <c r="BD14" s="10">
        <f t="shared" si="43"/>
        <v>0</v>
      </c>
      <c r="BE14" s="10">
        <v>0</v>
      </c>
      <c r="BF14" s="10"/>
      <c r="BG14" s="10">
        <f t="shared" si="44"/>
        <v>0</v>
      </c>
      <c r="BH14" s="10">
        <v>1</v>
      </c>
      <c r="BI14" s="10"/>
      <c r="BJ14" s="10">
        <f t="shared" si="45"/>
        <v>1</v>
      </c>
      <c r="BK14" s="10">
        <v>2</v>
      </c>
      <c r="BL14" s="10"/>
      <c r="BM14" s="10">
        <f t="shared" si="19"/>
        <v>2</v>
      </c>
      <c r="BN14" s="10">
        <v>2</v>
      </c>
      <c r="BO14" s="10"/>
      <c r="BP14" s="10">
        <f t="shared" si="20"/>
        <v>2</v>
      </c>
      <c r="BQ14" s="10"/>
      <c r="BR14" s="10"/>
      <c r="BS14" s="10">
        <f t="shared" si="21"/>
        <v>0</v>
      </c>
      <c r="BT14" s="10">
        <v>1</v>
      </c>
      <c r="BU14" s="10"/>
      <c r="BV14" s="10">
        <f t="shared" si="22"/>
        <v>1</v>
      </c>
      <c r="BW14" s="10">
        <v>0</v>
      </c>
      <c r="BX14" s="10"/>
      <c r="BY14" s="10">
        <f t="shared" si="46"/>
        <v>0</v>
      </c>
      <c r="BZ14" s="10">
        <v>0</v>
      </c>
      <c r="CA14" s="10"/>
      <c r="CB14" s="10">
        <f t="shared" si="47"/>
        <v>0</v>
      </c>
      <c r="CC14" s="10">
        <v>1</v>
      </c>
      <c r="CD14" s="10"/>
      <c r="CE14" s="10">
        <f t="shared" si="48"/>
        <v>1</v>
      </c>
      <c r="CF14" s="10">
        <v>2</v>
      </c>
      <c r="CG14" s="10"/>
      <c r="CH14" s="10">
        <f t="shared" si="26"/>
        <v>2</v>
      </c>
      <c r="CI14" s="10"/>
      <c r="CJ14" s="10"/>
      <c r="CK14" s="10">
        <f t="shared" si="27"/>
        <v>0</v>
      </c>
      <c r="CL14" s="10">
        <v>1</v>
      </c>
      <c r="CM14" s="10"/>
      <c r="CN14" s="10">
        <f t="shared" si="28"/>
        <v>1</v>
      </c>
      <c r="CO14" s="10">
        <v>1</v>
      </c>
      <c r="CP14" s="10"/>
      <c r="CQ14" s="10">
        <f t="shared" si="29"/>
        <v>1</v>
      </c>
      <c r="CR14" s="10">
        <v>2</v>
      </c>
      <c r="CS14" s="10"/>
      <c r="CT14" s="10">
        <f t="shared" si="30"/>
        <v>2</v>
      </c>
      <c r="CU14" s="10">
        <f t="shared" si="49"/>
        <v>30</v>
      </c>
      <c r="CV14" s="12">
        <f t="shared" si="31"/>
        <v>3.6487472634395522E-3</v>
      </c>
      <c r="CW14" s="10">
        <f t="shared" si="32"/>
        <v>0</v>
      </c>
      <c r="CX14" s="13">
        <f t="shared" si="33"/>
        <v>0</v>
      </c>
      <c r="CY14" s="14"/>
      <c r="CZ14" s="15">
        <f t="shared" si="50"/>
        <v>0</v>
      </c>
      <c r="DA14" s="13">
        <f t="shared" si="34"/>
        <v>0</v>
      </c>
      <c r="DB14" s="19"/>
      <c r="DC14" s="19"/>
      <c r="DD14" s="19"/>
    </row>
    <row r="15" spans="1:108" x14ac:dyDescent="0.25">
      <c r="A15" s="18" t="s">
        <v>28</v>
      </c>
      <c r="B15" s="10">
        <v>10</v>
      </c>
      <c r="C15" s="10" t="s">
        <v>29</v>
      </c>
      <c r="D15" s="11">
        <v>0.8314606741573034</v>
      </c>
      <c r="E15" s="11">
        <v>0.16853932584269662</v>
      </c>
      <c r="F15" s="10">
        <v>9</v>
      </c>
      <c r="G15" s="10"/>
      <c r="H15" s="10">
        <f t="shared" si="0"/>
        <v>9</v>
      </c>
      <c r="I15" s="10">
        <v>12</v>
      </c>
      <c r="J15" s="10"/>
      <c r="K15" s="10">
        <f t="shared" si="1"/>
        <v>12</v>
      </c>
      <c r="L15" s="10">
        <v>9</v>
      </c>
      <c r="M15" s="10"/>
      <c r="N15" s="10">
        <f t="shared" si="35"/>
        <v>9</v>
      </c>
      <c r="O15" s="10">
        <v>11</v>
      </c>
      <c r="P15" s="10"/>
      <c r="Q15" s="10">
        <f t="shared" si="36"/>
        <v>11</v>
      </c>
      <c r="R15" s="10">
        <v>8</v>
      </c>
      <c r="S15" s="10"/>
      <c r="T15" s="10">
        <f t="shared" si="37"/>
        <v>8</v>
      </c>
      <c r="U15" s="10">
        <v>11</v>
      </c>
      <c r="V15" s="10"/>
      <c r="W15" s="10">
        <f t="shared" si="5"/>
        <v>11</v>
      </c>
      <c r="X15" s="10">
        <v>12</v>
      </c>
      <c r="Y15" s="10"/>
      <c r="Z15" s="10">
        <f t="shared" si="38"/>
        <v>12</v>
      </c>
      <c r="AA15" s="10">
        <v>17</v>
      </c>
      <c r="AB15" s="10"/>
      <c r="AC15" s="10">
        <f t="shared" si="39"/>
        <v>17</v>
      </c>
      <c r="AD15" s="10">
        <v>9</v>
      </c>
      <c r="AE15" s="10"/>
      <c r="AF15" s="10">
        <f t="shared" si="8"/>
        <v>9</v>
      </c>
      <c r="AG15" s="10">
        <v>8</v>
      </c>
      <c r="AH15" s="10"/>
      <c r="AI15" s="10">
        <f t="shared" si="40"/>
        <v>8</v>
      </c>
      <c r="AJ15" s="10">
        <v>18</v>
      </c>
      <c r="AK15" s="10"/>
      <c r="AL15" s="10">
        <f t="shared" si="41"/>
        <v>18</v>
      </c>
      <c r="AM15" s="10">
        <v>20</v>
      </c>
      <c r="AN15" s="10"/>
      <c r="AO15" s="10">
        <f t="shared" si="42"/>
        <v>20</v>
      </c>
      <c r="AP15" s="10">
        <v>16</v>
      </c>
      <c r="AQ15" s="10"/>
      <c r="AR15" s="10">
        <f t="shared" si="12"/>
        <v>16</v>
      </c>
      <c r="AS15" s="10">
        <v>11</v>
      </c>
      <c r="AT15" s="10"/>
      <c r="AU15" s="10">
        <f t="shared" si="13"/>
        <v>11</v>
      </c>
      <c r="AV15" s="10">
        <v>21</v>
      </c>
      <c r="AW15" s="10"/>
      <c r="AX15" s="10">
        <f t="shared" si="14"/>
        <v>21</v>
      </c>
      <c r="AY15" s="10">
        <v>27</v>
      </c>
      <c r="AZ15" s="10"/>
      <c r="BA15" s="10">
        <f t="shared" si="15"/>
        <v>27</v>
      </c>
      <c r="BB15" s="10">
        <v>9</v>
      </c>
      <c r="BC15" s="10"/>
      <c r="BD15" s="10">
        <f t="shared" si="43"/>
        <v>9</v>
      </c>
      <c r="BE15" s="10">
        <v>17</v>
      </c>
      <c r="BF15" s="10"/>
      <c r="BG15" s="10">
        <f t="shared" si="44"/>
        <v>17</v>
      </c>
      <c r="BH15" s="10">
        <v>26</v>
      </c>
      <c r="BI15" s="10"/>
      <c r="BJ15" s="10">
        <f t="shared" si="45"/>
        <v>26</v>
      </c>
      <c r="BK15" s="10">
        <v>16</v>
      </c>
      <c r="BL15" s="10"/>
      <c r="BM15" s="10">
        <f t="shared" si="19"/>
        <v>16</v>
      </c>
      <c r="BN15" s="10">
        <v>11</v>
      </c>
      <c r="BO15" s="10"/>
      <c r="BP15" s="10">
        <f t="shared" si="20"/>
        <v>11</v>
      </c>
      <c r="BQ15" s="10">
        <v>15</v>
      </c>
      <c r="BR15" s="10"/>
      <c r="BS15" s="10">
        <f t="shared" si="21"/>
        <v>15</v>
      </c>
      <c r="BT15" s="10">
        <v>13</v>
      </c>
      <c r="BU15" s="10"/>
      <c r="BV15" s="10">
        <f t="shared" si="22"/>
        <v>13</v>
      </c>
      <c r="BW15" s="10">
        <v>12</v>
      </c>
      <c r="BX15" s="10"/>
      <c r="BY15" s="10">
        <f t="shared" si="46"/>
        <v>12</v>
      </c>
      <c r="BZ15" s="10">
        <v>15</v>
      </c>
      <c r="CA15" s="10"/>
      <c r="CB15" s="10">
        <f t="shared" si="47"/>
        <v>15</v>
      </c>
      <c r="CC15" s="10">
        <v>17</v>
      </c>
      <c r="CD15" s="10"/>
      <c r="CE15" s="10">
        <f t="shared" si="48"/>
        <v>17</v>
      </c>
      <c r="CF15" s="10">
        <v>24</v>
      </c>
      <c r="CG15" s="10"/>
      <c r="CH15" s="10">
        <f t="shared" si="26"/>
        <v>24</v>
      </c>
      <c r="CI15" s="10">
        <v>14</v>
      </c>
      <c r="CJ15" s="10"/>
      <c r="CK15" s="10">
        <f t="shared" si="27"/>
        <v>14</v>
      </c>
      <c r="CL15" s="10">
        <v>20</v>
      </c>
      <c r="CM15" s="10"/>
      <c r="CN15" s="10">
        <f t="shared" si="28"/>
        <v>20</v>
      </c>
      <c r="CO15" s="10">
        <v>18</v>
      </c>
      <c r="CP15" s="10"/>
      <c r="CQ15" s="10">
        <f t="shared" si="29"/>
        <v>18</v>
      </c>
      <c r="CR15" s="10">
        <v>27</v>
      </c>
      <c r="CS15" s="10"/>
      <c r="CT15" s="10">
        <f t="shared" si="30"/>
        <v>27</v>
      </c>
      <c r="CU15" s="10">
        <f t="shared" si="49"/>
        <v>473</v>
      </c>
      <c r="CV15" s="12">
        <f t="shared" si="31"/>
        <v>5.7528581853563611E-2</v>
      </c>
      <c r="CW15" s="10">
        <f t="shared" si="32"/>
        <v>396</v>
      </c>
      <c r="CX15" s="13">
        <f t="shared" si="33"/>
        <v>0.83720930232558144</v>
      </c>
      <c r="CY15" s="14">
        <v>6</v>
      </c>
      <c r="CZ15" s="15">
        <f t="shared" si="50"/>
        <v>6</v>
      </c>
      <c r="DA15" s="13">
        <f t="shared" si="34"/>
        <v>1.2684989429175475E-2</v>
      </c>
      <c r="DB15" s="17"/>
      <c r="DC15" s="17"/>
      <c r="DD15" s="10"/>
    </row>
    <row r="16" spans="1:108" x14ac:dyDescent="0.25">
      <c r="A16" s="10" t="s">
        <v>30</v>
      </c>
      <c r="B16" s="10">
        <v>1</v>
      </c>
      <c r="C16" s="10" t="s">
        <v>29</v>
      </c>
      <c r="D16" s="11">
        <v>0.66666666666666663</v>
      </c>
      <c r="E16" s="11">
        <v>0.33333333333333331</v>
      </c>
      <c r="F16" s="10">
        <v>5</v>
      </c>
      <c r="G16" s="10"/>
      <c r="H16" s="10">
        <f t="shared" si="0"/>
        <v>5</v>
      </c>
      <c r="I16" s="10"/>
      <c r="J16" s="10"/>
      <c r="K16" s="10">
        <f t="shared" si="1"/>
        <v>0</v>
      </c>
      <c r="L16" s="10">
        <v>0</v>
      </c>
      <c r="M16" s="10"/>
      <c r="N16" s="10">
        <f t="shared" si="35"/>
        <v>0</v>
      </c>
      <c r="O16" s="10">
        <v>2</v>
      </c>
      <c r="P16" s="10"/>
      <c r="Q16" s="10">
        <f t="shared" si="36"/>
        <v>2</v>
      </c>
      <c r="R16" s="10">
        <v>1</v>
      </c>
      <c r="S16" s="10"/>
      <c r="T16" s="10">
        <f t="shared" si="37"/>
        <v>1</v>
      </c>
      <c r="U16" s="10"/>
      <c r="V16" s="10"/>
      <c r="W16" s="10">
        <f t="shared" si="5"/>
        <v>0</v>
      </c>
      <c r="X16" s="10">
        <v>1</v>
      </c>
      <c r="Y16" s="10"/>
      <c r="Z16" s="10">
        <f t="shared" si="38"/>
        <v>1</v>
      </c>
      <c r="AA16" s="10">
        <v>0</v>
      </c>
      <c r="AB16" s="10"/>
      <c r="AC16" s="10">
        <f t="shared" si="39"/>
        <v>0</v>
      </c>
      <c r="AD16" s="10">
        <v>3</v>
      </c>
      <c r="AE16" s="10"/>
      <c r="AF16" s="10">
        <f t="shared" si="8"/>
        <v>3</v>
      </c>
      <c r="AG16" s="10">
        <v>1</v>
      </c>
      <c r="AH16" s="10"/>
      <c r="AI16" s="10">
        <f t="shared" si="40"/>
        <v>1</v>
      </c>
      <c r="AJ16" s="10">
        <v>0</v>
      </c>
      <c r="AK16" s="10"/>
      <c r="AL16" s="10">
        <f t="shared" si="41"/>
        <v>0</v>
      </c>
      <c r="AM16" s="10">
        <v>2</v>
      </c>
      <c r="AN16" s="10"/>
      <c r="AO16" s="10">
        <f t="shared" si="42"/>
        <v>2</v>
      </c>
      <c r="AP16" s="10">
        <v>1</v>
      </c>
      <c r="AQ16" s="10"/>
      <c r="AR16" s="10">
        <f t="shared" si="12"/>
        <v>1</v>
      </c>
      <c r="AS16" s="10">
        <v>1</v>
      </c>
      <c r="AT16" s="10"/>
      <c r="AU16" s="10">
        <f t="shared" si="13"/>
        <v>1</v>
      </c>
      <c r="AV16" s="10">
        <v>2</v>
      </c>
      <c r="AW16" s="10"/>
      <c r="AX16" s="10">
        <f t="shared" si="14"/>
        <v>2</v>
      </c>
      <c r="AY16" s="10">
        <v>1</v>
      </c>
      <c r="AZ16" s="10"/>
      <c r="BA16" s="10">
        <f t="shared" si="15"/>
        <v>1</v>
      </c>
      <c r="BB16" s="10">
        <v>0</v>
      </c>
      <c r="BC16" s="10"/>
      <c r="BD16" s="10">
        <f t="shared" si="43"/>
        <v>0</v>
      </c>
      <c r="BE16" s="10">
        <v>1</v>
      </c>
      <c r="BF16" s="10"/>
      <c r="BG16" s="10">
        <f t="shared" si="44"/>
        <v>1</v>
      </c>
      <c r="BH16" s="10">
        <v>2</v>
      </c>
      <c r="BI16" s="10"/>
      <c r="BJ16" s="10">
        <f t="shared" si="45"/>
        <v>2</v>
      </c>
      <c r="BK16" s="10">
        <v>4</v>
      </c>
      <c r="BL16" s="10"/>
      <c r="BM16" s="10">
        <f t="shared" si="19"/>
        <v>4</v>
      </c>
      <c r="BN16" s="10">
        <v>3</v>
      </c>
      <c r="BO16" s="10"/>
      <c r="BP16" s="10">
        <f t="shared" si="20"/>
        <v>3</v>
      </c>
      <c r="BQ16" s="10">
        <v>1</v>
      </c>
      <c r="BR16" s="10"/>
      <c r="BS16" s="10">
        <f t="shared" si="21"/>
        <v>1</v>
      </c>
      <c r="BT16" s="10">
        <v>3</v>
      </c>
      <c r="BU16" s="10"/>
      <c r="BV16" s="10">
        <f t="shared" si="22"/>
        <v>3</v>
      </c>
      <c r="BW16" s="10">
        <v>3</v>
      </c>
      <c r="BX16" s="10"/>
      <c r="BY16" s="10">
        <f t="shared" si="46"/>
        <v>3</v>
      </c>
      <c r="BZ16" s="10">
        <v>1</v>
      </c>
      <c r="CA16" s="10"/>
      <c r="CB16" s="10">
        <f t="shared" si="47"/>
        <v>1</v>
      </c>
      <c r="CC16" s="10">
        <v>5</v>
      </c>
      <c r="CD16" s="10"/>
      <c r="CE16" s="10">
        <f t="shared" si="48"/>
        <v>5</v>
      </c>
      <c r="CF16" s="10">
        <v>2</v>
      </c>
      <c r="CG16" s="10"/>
      <c r="CH16" s="10">
        <f t="shared" si="26"/>
        <v>2</v>
      </c>
      <c r="CI16" s="10">
        <v>3</v>
      </c>
      <c r="CJ16" s="10"/>
      <c r="CK16" s="10">
        <f t="shared" si="27"/>
        <v>3</v>
      </c>
      <c r="CL16" s="10">
        <v>1</v>
      </c>
      <c r="CM16" s="10"/>
      <c r="CN16" s="10">
        <f t="shared" si="28"/>
        <v>1</v>
      </c>
      <c r="CO16" s="10">
        <v>3</v>
      </c>
      <c r="CP16" s="10"/>
      <c r="CQ16" s="10">
        <f t="shared" si="29"/>
        <v>3</v>
      </c>
      <c r="CR16" s="10">
        <v>6</v>
      </c>
      <c r="CS16" s="10"/>
      <c r="CT16" s="10">
        <f t="shared" si="30"/>
        <v>6</v>
      </c>
      <c r="CU16" s="10">
        <f t="shared" si="49"/>
        <v>58</v>
      </c>
      <c r="CV16" s="12">
        <f t="shared" si="31"/>
        <v>7.0542447093164679E-3</v>
      </c>
      <c r="CW16" s="10">
        <f t="shared" si="32"/>
        <v>25</v>
      </c>
      <c r="CX16" s="13">
        <f t="shared" si="33"/>
        <v>0.43103448275862066</v>
      </c>
      <c r="CY16" s="14"/>
      <c r="CZ16" s="15">
        <f t="shared" si="50"/>
        <v>0</v>
      </c>
      <c r="DA16" s="13">
        <f t="shared" si="34"/>
        <v>0</v>
      </c>
      <c r="DB16" s="17"/>
      <c r="DC16" s="17"/>
      <c r="DD16" s="10"/>
    </row>
    <row r="17" spans="1:108" x14ac:dyDescent="0.25">
      <c r="A17" s="20" t="s">
        <v>31</v>
      </c>
      <c r="B17" s="10">
        <v>0</v>
      </c>
      <c r="C17" s="10" t="s">
        <v>29</v>
      </c>
      <c r="D17" s="11">
        <v>0.6875</v>
      </c>
      <c r="E17" s="11">
        <v>0.3125</v>
      </c>
      <c r="F17" s="10"/>
      <c r="G17" s="10"/>
      <c r="H17" s="10">
        <f t="shared" si="0"/>
        <v>0</v>
      </c>
      <c r="I17" s="10"/>
      <c r="J17" s="10"/>
      <c r="K17" s="10">
        <f t="shared" si="1"/>
        <v>0</v>
      </c>
      <c r="L17" s="10"/>
      <c r="M17" s="10"/>
      <c r="N17" s="10">
        <f t="shared" si="35"/>
        <v>0</v>
      </c>
      <c r="O17" s="10"/>
      <c r="P17" s="10"/>
      <c r="Q17" s="10">
        <f t="shared" si="36"/>
        <v>0</v>
      </c>
      <c r="R17" s="10"/>
      <c r="S17" s="10"/>
      <c r="T17" s="10">
        <f t="shared" si="37"/>
        <v>0</v>
      </c>
      <c r="U17" s="10"/>
      <c r="V17" s="10"/>
      <c r="W17" s="10">
        <f t="shared" si="5"/>
        <v>0</v>
      </c>
      <c r="X17" s="10"/>
      <c r="Y17" s="10"/>
      <c r="Z17" s="10">
        <f t="shared" si="38"/>
        <v>0</v>
      </c>
      <c r="AA17" s="10"/>
      <c r="AB17" s="10"/>
      <c r="AC17" s="10">
        <f t="shared" si="39"/>
        <v>0</v>
      </c>
      <c r="AD17" s="10"/>
      <c r="AE17" s="10"/>
      <c r="AF17" s="10">
        <f t="shared" si="8"/>
        <v>0</v>
      </c>
      <c r="AG17" s="10"/>
      <c r="AH17" s="10"/>
      <c r="AI17" s="10">
        <f t="shared" si="40"/>
        <v>0</v>
      </c>
      <c r="AJ17" s="10"/>
      <c r="AK17" s="10"/>
      <c r="AL17" s="10">
        <f t="shared" si="41"/>
        <v>0</v>
      </c>
      <c r="AM17" s="10"/>
      <c r="AN17" s="10"/>
      <c r="AO17" s="10">
        <f t="shared" si="42"/>
        <v>0</v>
      </c>
      <c r="AP17" s="10"/>
      <c r="AQ17" s="10"/>
      <c r="AR17" s="10">
        <f t="shared" si="12"/>
        <v>0</v>
      </c>
      <c r="AS17" s="10"/>
      <c r="AT17" s="10"/>
      <c r="AU17" s="10">
        <f t="shared" si="13"/>
        <v>0</v>
      </c>
      <c r="AV17" s="10"/>
      <c r="AW17" s="10"/>
      <c r="AX17" s="10">
        <f t="shared" si="14"/>
        <v>0</v>
      </c>
      <c r="AY17" s="10"/>
      <c r="AZ17" s="10"/>
      <c r="BA17" s="10">
        <f t="shared" si="15"/>
        <v>0</v>
      </c>
      <c r="BB17" s="10"/>
      <c r="BC17" s="10"/>
      <c r="BD17" s="10">
        <f t="shared" si="43"/>
        <v>0</v>
      </c>
      <c r="BE17" s="10"/>
      <c r="BF17" s="10"/>
      <c r="BG17" s="10">
        <f t="shared" si="44"/>
        <v>0</v>
      </c>
      <c r="BH17" s="10"/>
      <c r="BI17" s="10"/>
      <c r="BJ17" s="10">
        <f t="shared" si="45"/>
        <v>0</v>
      </c>
      <c r="BK17" s="10"/>
      <c r="BL17" s="10"/>
      <c r="BM17" s="10">
        <f t="shared" si="19"/>
        <v>0</v>
      </c>
      <c r="BN17" s="10"/>
      <c r="BO17" s="10"/>
      <c r="BP17" s="10">
        <f t="shared" si="20"/>
        <v>0</v>
      </c>
      <c r="BQ17" s="10"/>
      <c r="BR17" s="10"/>
      <c r="BS17" s="10">
        <f t="shared" si="21"/>
        <v>0</v>
      </c>
      <c r="BT17" s="10"/>
      <c r="BU17" s="10"/>
      <c r="BV17" s="10">
        <f t="shared" si="22"/>
        <v>0</v>
      </c>
      <c r="BW17" s="10"/>
      <c r="BX17" s="10"/>
      <c r="BY17" s="10">
        <f t="shared" si="46"/>
        <v>0</v>
      </c>
      <c r="BZ17" s="10"/>
      <c r="CA17" s="10"/>
      <c r="CB17" s="10">
        <f t="shared" si="47"/>
        <v>0</v>
      </c>
      <c r="CC17" s="10"/>
      <c r="CD17" s="10"/>
      <c r="CE17" s="10">
        <f t="shared" si="48"/>
        <v>0</v>
      </c>
      <c r="CF17" s="10"/>
      <c r="CG17" s="10"/>
      <c r="CH17" s="10">
        <f t="shared" si="26"/>
        <v>0</v>
      </c>
      <c r="CI17" s="10"/>
      <c r="CJ17" s="10"/>
      <c r="CK17" s="10">
        <f t="shared" si="27"/>
        <v>0</v>
      </c>
      <c r="CL17" s="10"/>
      <c r="CM17" s="10"/>
      <c r="CN17" s="10">
        <f t="shared" si="28"/>
        <v>0</v>
      </c>
      <c r="CO17" s="10"/>
      <c r="CP17" s="10"/>
      <c r="CQ17" s="10">
        <f t="shared" si="29"/>
        <v>0</v>
      </c>
      <c r="CR17" s="10"/>
      <c r="CS17" s="10"/>
      <c r="CT17" s="10">
        <f t="shared" si="30"/>
        <v>0</v>
      </c>
      <c r="CU17" s="10">
        <f t="shared" si="49"/>
        <v>0</v>
      </c>
      <c r="CV17" s="12">
        <f t="shared" si="31"/>
        <v>0</v>
      </c>
      <c r="CW17" s="10">
        <f t="shared" si="32"/>
        <v>0</v>
      </c>
      <c r="CX17" s="13" t="e">
        <f t="shared" si="33"/>
        <v>#DIV/0!</v>
      </c>
      <c r="CY17" s="14"/>
      <c r="CZ17" s="15">
        <f t="shared" si="50"/>
        <v>0</v>
      </c>
      <c r="DA17" s="13" t="e">
        <f t="shared" si="34"/>
        <v>#DIV/0!</v>
      </c>
      <c r="DB17" s="17"/>
      <c r="DC17" s="17"/>
      <c r="DD17" s="10"/>
    </row>
    <row r="18" spans="1:108" x14ac:dyDescent="0.25">
      <c r="A18" s="10" t="s">
        <v>32</v>
      </c>
      <c r="B18" s="10">
        <v>7</v>
      </c>
      <c r="C18" s="10" t="s">
        <v>29</v>
      </c>
      <c r="D18" s="11">
        <v>0.73287671232876717</v>
      </c>
      <c r="E18" s="11">
        <v>0.26712328767123289</v>
      </c>
      <c r="F18" s="10">
        <v>4</v>
      </c>
      <c r="G18" s="10">
        <v>3</v>
      </c>
      <c r="H18" s="10">
        <f t="shared" si="0"/>
        <v>7</v>
      </c>
      <c r="I18" s="10">
        <v>1</v>
      </c>
      <c r="J18" s="10"/>
      <c r="K18" s="10">
        <f t="shared" si="1"/>
        <v>1</v>
      </c>
      <c r="L18" s="10">
        <v>0</v>
      </c>
      <c r="M18" s="10">
        <v>1</v>
      </c>
      <c r="N18" s="10">
        <f t="shared" si="35"/>
        <v>1</v>
      </c>
      <c r="O18" s="10">
        <v>2</v>
      </c>
      <c r="P18" s="10">
        <v>4</v>
      </c>
      <c r="Q18" s="10">
        <f t="shared" si="36"/>
        <v>6</v>
      </c>
      <c r="R18" s="10">
        <v>2</v>
      </c>
      <c r="S18" s="10">
        <v>8</v>
      </c>
      <c r="T18" s="10">
        <f t="shared" si="37"/>
        <v>10</v>
      </c>
      <c r="U18" s="10">
        <v>1</v>
      </c>
      <c r="V18" s="10">
        <v>6</v>
      </c>
      <c r="W18" s="10">
        <f t="shared" si="5"/>
        <v>7</v>
      </c>
      <c r="X18" s="10">
        <v>4</v>
      </c>
      <c r="Y18" s="10"/>
      <c r="Z18" s="10">
        <f t="shared" si="38"/>
        <v>4</v>
      </c>
      <c r="AA18" s="10">
        <v>3</v>
      </c>
      <c r="AB18" s="10"/>
      <c r="AC18" s="10">
        <f t="shared" si="39"/>
        <v>3</v>
      </c>
      <c r="AD18" s="10">
        <v>3</v>
      </c>
      <c r="AE18" s="10">
        <v>4</v>
      </c>
      <c r="AF18" s="10">
        <f t="shared" si="8"/>
        <v>7</v>
      </c>
      <c r="AG18" s="10">
        <v>0</v>
      </c>
      <c r="AH18" s="10">
        <v>4</v>
      </c>
      <c r="AI18" s="10">
        <f t="shared" si="40"/>
        <v>4</v>
      </c>
      <c r="AJ18" s="10">
        <v>1</v>
      </c>
      <c r="AK18" s="10">
        <v>3</v>
      </c>
      <c r="AL18" s="10">
        <f t="shared" si="41"/>
        <v>4</v>
      </c>
      <c r="AM18" s="10">
        <v>3</v>
      </c>
      <c r="AN18" s="10">
        <v>4</v>
      </c>
      <c r="AO18" s="10">
        <f t="shared" si="42"/>
        <v>7</v>
      </c>
      <c r="AP18" s="10">
        <v>2</v>
      </c>
      <c r="AQ18" s="10">
        <v>3</v>
      </c>
      <c r="AR18" s="10">
        <f t="shared" si="12"/>
        <v>5</v>
      </c>
      <c r="AS18" s="10">
        <v>5</v>
      </c>
      <c r="AT18" s="10">
        <v>5</v>
      </c>
      <c r="AU18" s="10">
        <f t="shared" si="13"/>
        <v>10</v>
      </c>
      <c r="AV18" s="10"/>
      <c r="AW18" s="10">
        <v>1</v>
      </c>
      <c r="AX18" s="10">
        <f t="shared" si="14"/>
        <v>1</v>
      </c>
      <c r="AY18" s="10">
        <v>4</v>
      </c>
      <c r="AZ18" s="10">
        <v>7</v>
      </c>
      <c r="BA18" s="10">
        <f t="shared" si="15"/>
        <v>11</v>
      </c>
      <c r="BB18" s="10">
        <v>2</v>
      </c>
      <c r="BC18" s="10">
        <v>3</v>
      </c>
      <c r="BD18" s="10">
        <f t="shared" si="43"/>
        <v>5</v>
      </c>
      <c r="BE18" s="10">
        <v>5</v>
      </c>
      <c r="BF18" s="10">
        <v>6</v>
      </c>
      <c r="BG18" s="10">
        <f t="shared" si="44"/>
        <v>11</v>
      </c>
      <c r="BH18" s="10">
        <v>12</v>
      </c>
      <c r="BI18" s="10">
        <v>3</v>
      </c>
      <c r="BJ18" s="10">
        <f t="shared" si="45"/>
        <v>15</v>
      </c>
      <c r="BK18" s="10">
        <v>6</v>
      </c>
      <c r="BL18" s="10">
        <v>1</v>
      </c>
      <c r="BM18" s="10">
        <f t="shared" si="19"/>
        <v>7</v>
      </c>
      <c r="BN18" s="10">
        <v>9</v>
      </c>
      <c r="BO18" s="10">
        <v>4</v>
      </c>
      <c r="BP18" s="10">
        <f t="shared" si="20"/>
        <v>13</v>
      </c>
      <c r="BQ18" s="10">
        <v>14</v>
      </c>
      <c r="BR18" s="10">
        <v>7</v>
      </c>
      <c r="BS18" s="10">
        <f t="shared" si="21"/>
        <v>21</v>
      </c>
      <c r="BT18" s="10">
        <v>4</v>
      </c>
      <c r="BU18" s="10">
        <v>2</v>
      </c>
      <c r="BV18" s="10">
        <f t="shared" si="22"/>
        <v>6</v>
      </c>
      <c r="BW18" s="10">
        <v>5</v>
      </c>
      <c r="BX18" s="10">
        <v>5</v>
      </c>
      <c r="BY18" s="10">
        <f t="shared" si="46"/>
        <v>10</v>
      </c>
      <c r="BZ18" s="10">
        <v>13</v>
      </c>
      <c r="CA18" s="10">
        <v>8</v>
      </c>
      <c r="CB18" s="10">
        <f t="shared" si="47"/>
        <v>21</v>
      </c>
      <c r="CC18" s="10">
        <v>17</v>
      </c>
      <c r="CD18" s="10">
        <v>3</v>
      </c>
      <c r="CE18" s="10">
        <f t="shared" si="48"/>
        <v>20</v>
      </c>
      <c r="CF18" s="10">
        <v>13</v>
      </c>
      <c r="CG18" s="10">
        <v>2</v>
      </c>
      <c r="CH18" s="10">
        <f t="shared" si="26"/>
        <v>15</v>
      </c>
      <c r="CI18" s="10">
        <v>20</v>
      </c>
      <c r="CJ18" s="10">
        <v>4</v>
      </c>
      <c r="CK18" s="10">
        <f t="shared" si="27"/>
        <v>24</v>
      </c>
      <c r="CL18" s="10">
        <v>12</v>
      </c>
      <c r="CM18" s="10"/>
      <c r="CN18" s="10">
        <f t="shared" si="28"/>
        <v>12</v>
      </c>
      <c r="CO18" s="10">
        <v>13</v>
      </c>
      <c r="CP18" s="10">
        <v>8</v>
      </c>
      <c r="CQ18" s="10">
        <f t="shared" si="29"/>
        <v>21</v>
      </c>
      <c r="CR18" s="10">
        <v>18</v>
      </c>
      <c r="CS18" s="10">
        <v>2</v>
      </c>
      <c r="CT18" s="10">
        <f t="shared" si="30"/>
        <v>20</v>
      </c>
      <c r="CU18" s="10">
        <f t="shared" si="49"/>
        <v>309</v>
      </c>
      <c r="CV18" s="12">
        <f t="shared" si="31"/>
        <v>3.758209681342739E-2</v>
      </c>
      <c r="CW18" s="10">
        <f t="shared" si="32"/>
        <v>79</v>
      </c>
      <c r="CX18" s="13">
        <f t="shared" si="33"/>
        <v>0.25566343042071199</v>
      </c>
      <c r="CY18" s="14">
        <v>1</v>
      </c>
      <c r="CZ18" s="15">
        <f t="shared" si="50"/>
        <v>1</v>
      </c>
      <c r="DA18" s="13">
        <f t="shared" si="34"/>
        <v>3.2362459546925568E-3</v>
      </c>
      <c r="DB18" s="17"/>
      <c r="DC18" s="17"/>
      <c r="DD18" s="17"/>
    </row>
    <row r="19" spans="1:108" x14ac:dyDescent="0.25">
      <c r="A19" s="18" t="s">
        <v>33</v>
      </c>
      <c r="B19" s="10">
        <v>4</v>
      </c>
      <c r="C19" s="10" t="s">
        <v>29</v>
      </c>
      <c r="D19" s="11">
        <v>0.7857142857142857</v>
      </c>
      <c r="E19" s="11">
        <v>0.21428571428571427</v>
      </c>
      <c r="F19" s="10">
        <v>10</v>
      </c>
      <c r="G19" s="10"/>
      <c r="H19" s="10">
        <f t="shared" si="0"/>
        <v>10</v>
      </c>
      <c r="I19" s="10">
        <v>5</v>
      </c>
      <c r="J19" s="10"/>
      <c r="K19" s="10">
        <f t="shared" si="1"/>
        <v>5</v>
      </c>
      <c r="L19" s="10">
        <v>8</v>
      </c>
      <c r="M19" s="10"/>
      <c r="N19" s="10">
        <f t="shared" si="35"/>
        <v>8</v>
      </c>
      <c r="O19" s="10">
        <v>14</v>
      </c>
      <c r="P19" s="10"/>
      <c r="Q19" s="10">
        <f t="shared" si="36"/>
        <v>14</v>
      </c>
      <c r="R19" s="10">
        <v>9</v>
      </c>
      <c r="S19" s="10"/>
      <c r="T19" s="10">
        <f t="shared" si="37"/>
        <v>9</v>
      </c>
      <c r="U19" s="10">
        <v>7</v>
      </c>
      <c r="V19" s="10"/>
      <c r="W19" s="10">
        <f t="shared" si="5"/>
        <v>7</v>
      </c>
      <c r="X19" s="10">
        <v>7</v>
      </c>
      <c r="Y19" s="10"/>
      <c r="Z19" s="10">
        <f t="shared" si="38"/>
        <v>7</v>
      </c>
      <c r="AA19" s="10">
        <v>5</v>
      </c>
      <c r="AB19" s="10"/>
      <c r="AC19" s="10">
        <f t="shared" si="39"/>
        <v>5</v>
      </c>
      <c r="AD19" s="10">
        <v>4</v>
      </c>
      <c r="AE19" s="10"/>
      <c r="AF19" s="10">
        <f t="shared" si="8"/>
        <v>4</v>
      </c>
      <c r="AG19" s="10">
        <v>7</v>
      </c>
      <c r="AH19" s="10"/>
      <c r="AI19" s="10">
        <f t="shared" si="40"/>
        <v>7</v>
      </c>
      <c r="AJ19" s="10">
        <v>8</v>
      </c>
      <c r="AK19" s="10"/>
      <c r="AL19" s="10">
        <f t="shared" si="41"/>
        <v>8</v>
      </c>
      <c r="AM19" s="10">
        <v>4</v>
      </c>
      <c r="AN19" s="10"/>
      <c r="AO19" s="10">
        <f t="shared" si="42"/>
        <v>4</v>
      </c>
      <c r="AP19" s="10">
        <v>9</v>
      </c>
      <c r="AQ19" s="10"/>
      <c r="AR19" s="10">
        <f t="shared" si="12"/>
        <v>9</v>
      </c>
      <c r="AS19" s="10">
        <v>5</v>
      </c>
      <c r="AT19" s="10"/>
      <c r="AU19" s="10">
        <f t="shared" si="13"/>
        <v>5</v>
      </c>
      <c r="AV19" s="10">
        <v>10</v>
      </c>
      <c r="AW19" s="10"/>
      <c r="AX19" s="10">
        <f t="shared" si="14"/>
        <v>10</v>
      </c>
      <c r="AY19" s="10">
        <v>9</v>
      </c>
      <c r="AZ19" s="10"/>
      <c r="BA19" s="10">
        <f t="shared" si="15"/>
        <v>9</v>
      </c>
      <c r="BB19" s="10">
        <v>7</v>
      </c>
      <c r="BC19" s="10"/>
      <c r="BD19" s="10">
        <f t="shared" si="43"/>
        <v>7</v>
      </c>
      <c r="BE19" s="10">
        <v>6</v>
      </c>
      <c r="BF19" s="10"/>
      <c r="BG19" s="10">
        <f t="shared" si="44"/>
        <v>6</v>
      </c>
      <c r="BH19" s="10">
        <v>11</v>
      </c>
      <c r="BI19" s="10"/>
      <c r="BJ19" s="10">
        <f t="shared" si="45"/>
        <v>11</v>
      </c>
      <c r="BK19" s="10">
        <v>7</v>
      </c>
      <c r="BL19" s="10"/>
      <c r="BM19" s="10">
        <f t="shared" si="19"/>
        <v>7</v>
      </c>
      <c r="BN19" s="10">
        <v>7</v>
      </c>
      <c r="BO19" s="10"/>
      <c r="BP19" s="10">
        <f t="shared" si="20"/>
        <v>7</v>
      </c>
      <c r="BQ19" s="10">
        <v>5</v>
      </c>
      <c r="BR19" s="10"/>
      <c r="BS19" s="10">
        <f t="shared" si="21"/>
        <v>5</v>
      </c>
      <c r="BT19" s="10">
        <v>11</v>
      </c>
      <c r="BU19" s="10"/>
      <c r="BV19" s="10">
        <f t="shared" si="22"/>
        <v>11</v>
      </c>
      <c r="BW19" s="10">
        <v>5</v>
      </c>
      <c r="BX19" s="10"/>
      <c r="BY19" s="10">
        <f t="shared" si="46"/>
        <v>5</v>
      </c>
      <c r="BZ19" s="10">
        <v>13</v>
      </c>
      <c r="CA19" s="10"/>
      <c r="CB19" s="10">
        <f t="shared" si="47"/>
        <v>13</v>
      </c>
      <c r="CC19" s="10">
        <v>14</v>
      </c>
      <c r="CD19" s="10"/>
      <c r="CE19" s="10">
        <f t="shared" si="48"/>
        <v>14</v>
      </c>
      <c r="CF19" s="10">
        <v>8</v>
      </c>
      <c r="CG19" s="10"/>
      <c r="CH19" s="10">
        <f t="shared" si="26"/>
        <v>8</v>
      </c>
      <c r="CI19" s="10">
        <v>7</v>
      </c>
      <c r="CJ19" s="10"/>
      <c r="CK19" s="10">
        <f t="shared" si="27"/>
        <v>7</v>
      </c>
      <c r="CL19" s="10">
        <v>9</v>
      </c>
      <c r="CM19" s="10"/>
      <c r="CN19" s="10">
        <f t="shared" si="28"/>
        <v>9</v>
      </c>
      <c r="CO19" s="10">
        <v>5</v>
      </c>
      <c r="CP19" s="10"/>
      <c r="CQ19" s="10">
        <f t="shared" si="29"/>
        <v>5</v>
      </c>
      <c r="CR19" s="10">
        <v>7</v>
      </c>
      <c r="CS19" s="10"/>
      <c r="CT19" s="10">
        <f t="shared" si="30"/>
        <v>7</v>
      </c>
      <c r="CU19" s="10">
        <f t="shared" si="49"/>
        <v>243</v>
      </c>
      <c r="CV19" s="12">
        <f t="shared" si="31"/>
        <v>2.9554852833860376E-2</v>
      </c>
      <c r="CW19" s="10">
        <f t="shared" si="32"/>
        <v>206</v>
      </c>
      <c r="CX19" s="13">
        <f t="shared" si="33"/>
        <v>0.84773662551440332</v>
      </c>
      <c r="CY19" s="14">
        <v>11</v>
      </c>
      <c r="CZ19" s="15">
        <f t="shared" si="50"/>
        <v>11</v>
      </c>
      <c r="DA19" s="13">
        <f t="shared" si="34"/>
        <v>4.5267489711934158E-2</v>
      </c>
      <c r="DB19" s="17"/>
      <c r="DC19" s="17"/>
      <c r="DD19" s="17"/>
    </row>
    <row r="20" spans="1:108" x14ac:dyDescent="0.25">
      <c r="A20" s="20" t="s">
        <v>34</v>
      </c>
      <c r="B20" s="10">
        <v>0</v>
      </c>
      <c r="C20" s="10" t="s">
        <v>29</v>
      </c>
      <c r="D20" s="11">
        <v>0.69463869463869465</v>
      </c>
      <c r="E20" s="11">
        <v>0.30536130536130535</v>
      </c>
      <c r="F20" s="10"/>
      <c r="G20" s="10"/>
      <c r="H20" s="10">
        <f t="shared" si="0"/>
        <v>0</v>
      </c>
      <c r="I20" s="10"/>
      <c r="J20" s="10"/>
      <c r="K20" s="10">
        <f t="shared" si="1"/>
        <v>0</v>
      </c>
      <c r="L20" s="10"/>
      <c r="M20" s="10"/>
      <c r="N20" s="10">
        <f t="shared" si="35"/>
        <v>0</v>
      </c>
      <c r="O20" s="10"/>
      <c r="P20" s="10"/>
      <c r="Q20" s="10">
        <f t="shared" si="36"/>
        <v>0</v>
      </c>
      <c r="R20" s="10"/>
      <c r="S20" s="10"/>
      <c r="T20" s="10">
        <f t="shared" si="37"/>
        <v>0</v>
      </c>
      <c r="U20" s="10"/>
      <c r="V20" s="10"/>
      <c r="W20" s="10">
        <f t="shared" si="5"/>
        <v>0</v>
      </c>
      <c r="X20" s="10"/>
      <c r="Y20" s="10"/>
      <c r="Z20" s="10">
        <f t="shared" si="38"/>
        <v>0</v>
      </c>
      <c r="AA20" s="10"/>
      <c r="AB20" s="10"/>
      <c r="AC20" s="10">
        <f t="shared" si="39"/>
        <v>0</v>
      </c>
      <c r="AD20" s="10"/>
      <c r="AE20" s="10"/>
      <c r="AF20" s="10">
        <f t="shared" si="8"/>
        <v>0</v>
      </c>
      <c r="AG20" s="10"/>
      <c r="AH20" s="10"/>
      <c r="AI20" s="10">
        <f t="shared" si="40"/>
        <v>0</v>
      </c>
      <c r="AJ20" s="10"/>
      <c r="AK20" s="10"/>
      <c r="AL20" s="10">
        <f t="shared" si="41"/>
        <v>0</v>
      </c>
      <c r="AM20" s="10"/>
      <c r="AN20" s="10"/>
      <c r="AO20" s="10">
        <f t="shared" si="42"/>
        <v>0</v>
      </c>
      <c r="AP20" s="10"/>
      <c r="AQ20" s="10"/>
      <c r="AR20" s="10">
        <f t="shared" si="12"/>
        <v>0</v>
      </c>
      <c r="AS20" s="10"/>
      <c r="AT20" s="10"/>
      <c r="AU20" s="10">
        <f t="shared" si="13"/>
        <v>0</v>
      </c>
      <c r="AV20" s="10"/>
      <c r="AW20" s="10"/>
      <c r="AX20" s="10">
        <f t="shared" si="14"/>
        <v>0</v>
      </c>
      <c r="AY20" s="10"/>
      <c r="AZ20" s="10"/>
      <c r="BA20" s="10">
        <f t="shared" si="15"/>
        <v>0</v>
      </c>
      <c r="BB20" s="10"/>
      <c r="BC20" s="10"/>
      <c r="BD20" s="10">
        <f t="shared" si="43"/>
        <v>0</v>
      </c>
      <c r="BE20" s="10"/>
      <c r="BF20" s="10"/>
      <c r="BG20" s="10">
        <f t="shared" si="44"/>
        <v>0</v>
      </c>
      <c r="BH20" s="10"/>
      <c r="BI20" s="10"/>
      <c r="BJ20" s="10">
        <f t="shared" si="45"/>
        <v>0</v>
      </c>
      <c r="BK20" s="10"/>
      <c r="BL20" s="10"/>
      <c r="BM20" s="10">
        <f t="shared" si="19"/>
        <v>0</v>
      </c>
      <c r="BN20" s="10"/>
      <c r="BO20" s="10"/>
      <c r="BP20" s="10">
        <f t="shared" si="20"/>
        <v>0</v>
      </c>
      <c r="BQ20" s="10">
        <v>1</v>
      </c>
      <c r="BR20" s="10"/>
      <c r="BS20" s="10">
        <f t="shared" si="21"/>
        <v>1</v>
      </c>
      <c r="BT20" s="10"/>
      <c r="BU20" s="10"/>
      <c r="BV20" s="10">
        <f t="shared" si="22"/>
        <v>0</v>
      </c>
      <c r="BW20" s="10"/>
      <c r="BX20" s="10"/>
      <c r="BY20" s="10">
        <f t="shared" si="46"/>
        <v>0</v>
      </c>
      <c r="BZ20" s="10"/>
      <c r="CA20" s="10"/>
      <c r="CB20" s="10">
        <f t="shared" si="47"/>
        <v>0</v>
      </c>
      <c r="CC20" s="10"/>
      <c r="CD20" s="10"/>
      <c r="CE20" s="10">
        <f t="shared" si="48"/>
        <v>0</v>
      </c>
      <c r="CF20" s="10"/>
      <c r="CG20" s="10"/>
      <c r="CH20" s="10">
        <f t="shared" si="26"/>
        <v>0</v>
      </c>
      <c r="CI20" s="10"/>
      <c r="CJ20" s="10"/>
      <c r="CK20" s="10">
        <f t="shared" si="27"/>
        <v>0</v>
      </c>
      <c r="CL20" s="10">
        <v>1</v>
      </c>
      <c r="CM20" s="10"/>
      <c r="CN20" s="10">
        <f t="shared" si="28"/>
        <v>1</v>
      </c>
      <c r="CO20" s="10"/>
      <c r="CP20" s="10"/>
      <c r="CQ20" s="10">
        <f t="shared" si="29"/>
        <v>0</v>
      </c>
      <c r="CR20" s="10"/>
      <c r="CS20" s="10"/>
      <c r="CT20" s="10">
        <f t="shared" si="30"/>
        <v>0</v>
      </c>
      <c r="CU20" s="10">
        <f t="shared" si="49"/>
        <v>2</v>
      </c>
      <c r="CV20" s="12">
        <f t="shared" si="31"/>
        <v>2.4324981756263683E-4</v>
      </c>
      <c r="CW20" s="10">
        <f t="shared" si="32"/>
        <v>0</v>
      </c>
      <c r="CX20" s="13">
        <f t="shared" si="33"/>
        <v>0</v>
      </c>
      <c r="CY20" s="14"/>
      <c r="CZ20" s="15">
        <f t="shared" si="50"/>
        <v>0</v>
      </c>
      <c r="DA20" s="13">
        <f t="shared" si="34"/>
        <v>0</v>
      </c>
      <c r="DB20" s="19"/>
      <c r="DC20" s="19"/>
      <c r="DD20" s="19"/>
    </row>
    <row r="21" spans="1:108" x14ac:dyDescent="0.25">
      <c r="A21" s="20" t="s">
        <v>35</v>
      </c>
      <c r="B21" s="10">
        <v>0</v>
      </c>
      <c r="C21" s="10" t="s">
        <v>29</v>
      </c>
      <c r="D21" s="11">
        <v>0.76923076923076927</v>
      </c>
      <c r="E21" s="11">
        <v>0.23076923076923078</v>
      </c>
      <c r="F21" s="10"/>
      <c r="G21" s="10"/>
      <c r="H21" s="10">
        <f t="shared" si="0"/>
        <v>0</v>
      </c>
      <c r="I21" s="10"/>
      <c r="J21" s="10"/>
      <c r="K21" s="10">
        <f t="shared" si="1"/>
        <v>0</v>
      </c>
      <c r="L21" s="10"/>
      <c r="M21" s="10"/>
      <c r="N21" s="10">
        <f t="shared" si="35"/>
        <v>0</v>
      </c>
      <c r="O21" s="10"/>
      <c r="P21" s="10"/>
      <c r="Q21" s="10">
        <f t="shared" si="36"/>
        <v>0</v>
      </c>
      <c r="R21" s="10"/>
      <c r="S21" s="10"/>
      <c r="T21" s="10">
        <f t="shared" si="37"/>
        <v>0</v>
      </c>
      <c r="U21" s="10"/>
      <c r="V21" s="10"/>
      <c r="W21" s="10">
        <f t="shared" si="5"/>
        <v>0</v>
      </c>
      <c r="X21" s="10"/>
      <c r="Y21" s="10"/>
      <c r="Z21" s="10">
        <f t="shared" si="38"/>
        <v>0</v>
      </c>
      <c r="AA21" s="10"/>
      <c r="AB21" s="10"/>
      <c r="AC21" s="10">
        <f t="shared" si="39"/>
        <v>0</v>
      </c>
      <c r="AD21" s="10"/>
      <c r="AE21" s="10"/>
      <c r="AF21" s="10">
        <f t="shared" si="8"/>
        <v>0</v>
      </c>
      <c r="AG21" s="10"/>
      <c r="AH21" s="10"/>
      <c r="AI21" s="10">
        <f t="shared" si="40"/>
        <v>0</v>
      </c>
      <c r="AJ21" s="10"/>
      <c r="AK21" s="10"/>
      <c r="AL21" s="10">
        <f t="shared" si="41"/>
        <v>0</v>
      </c>
      <c r="AM21" s="10"/>
      <c r="AN21" s="10"/>
      <c r="AO21" s="10">
        <f t="shared" si="42"/>
        <v>0</v>
      </c>
      <c r="AP21" s="10"/>
      <c r="AQ21" s="10"/>
      <c r="AR21" s="10">
        <f t="shared" si="12"/>
        <v>0</v>
      </c>
      <c r="AS21" s="10"/>
      <c r="AT21" s="10"/>
      <c r="AU21" s="10">
        <f t="shared" si="13"/>
        <v>0</v>
      </c>
      <c r="AV21" s="10"/>
      <c r="AW21" s="10"/>
      <c r="AX21" s="10">
        <f t="shared" si="14"/>
        <v>0</v>
      </c>
      <c r="AY21" s="10"/>
      <c r="AZ21" s="10"/>
      <c r="BA21" s="10">
        <f t="shared" si="15"/>
        <v>0</v>
      </c>
      <c r="BB21" s="10"/>
      <c r="BC21" s="10"/>
      <c r="BD21" s="10">
        <f t="shared" si="43"/>
        <v>0</v>
      </c>
      <c r="BE21" s="10"/>
      <c r="BF21" s="10"/>
      <c r="BG21" s="10">
        <f t="shared" si="44"/>
        <v>0</v>
      </c>
      <c r="BH21" s="10"/>
      <c r="BI21" s="10"/>
      <c r="BJ21" s="10">
        <f t="shared" si="45"/>
        <v>0</v>
      </c>
      <c r="BK21" s="10"/>
      <c r="BL21" s="10"/>
      <c r="BM21" s="10">
        <f t="shared" si="19"/>
        <v>0</v>
      </c>
      <c r="BN21" s="10"/>
      <c r="BO21" s="10"/>
      <c r="BP21" s="10">
        <f t="shared" si="20"/>
        <v>0</v>
      </c>
      <c r="BQ21" s="10"/>
      <c r="BR21" s="10"/>
      <c r="BS21" s="10">
        <f t="shared" si="21"/>
        <v>0</v>
      </c>
      <c r="BT21" s="10"/>
      <c r="BU21" s="10"/>
      <c r="BV21" s="10">
        <f t="shared" si="22"/>
        <v>0</v>
      </c>
      <c r="BW21" s="10"/>
      <c r="BX21" s="10"/>
      <c r="BY21" s="10">
        <f t="shared" si="46"/>
        <v>0</v>
      </c>
      <c r="BZ21" s="10"/>
      <c r="CA21" s="10"/>
      <c r="CB21" s="10">
        <f t="shared" si="47"/>
        <v>0</v>
      </c>
      <c r="CC21" s="10"/>
      <c r="CD21" s="10"/>
      <c r="CE21" s="10">
        <f t="shared" si="48"/>
        <v>0</v>
      </c>
      <c r="CF21" s="10"/>
      <c r="CG21" s="10"/>
      <c r="CH21" s="10">
        <f t="shared" si="26"/>
        <v>0</v>
      </c>
      <c r="CI21" s="10"/>
      <c r="CJ21" s="10"/>
      <c r="CK21" s="10">
        <f t="shared" si="27"/>
        <v>0</v>
      </c>
      <c r="CL21" s="10"/>
      <c r="CM21" s="10"/>
      <c r="CN21" s="10">
        <f t="shared" si="28"/>
        <v>0</v>
      </c>
      <c r="CO21" s="10"/>
      <c r="CP21" s="10"/>
      <c r="CQ21" s="10">
        <f t="shared" si="29"/>
        <v>0</v>
      </c>
      <c r="CR21" s="10"/>
      <c r="CS21" s="10"/>
      <c r="CT21" s="10">
        <f t="shared" si="30"/>
        <v>0</v>
      </c>
      <c r="CU21" s="10">
        <f t="shared" si="49"/>
        <v>0</v>
      </c>
      <c r="CV21" s="12">
        <f t="shared" si="31"/>
        <v>0</v>
      </c>
      <c r="CW21" s="10">
        <f t="shared" si="32"/>
        <v>0</v>
      </c>
      <c r="CX21" s="13" t="e">
        <f t="shared" si="33"/>
        <v>#DIV/0!</v>
      </c>
      <c r="CY21" s="14"/>
      <c r="CZ21" s="15">
        <f t="shared" si="50"/>
        <v>0</v>
      </c>
      <c r="DA21" s="13" t="e">
        <f t="shared" si="34"/>
        <v>#DIV/0!</v>
      </c>
      <c r="DB21" s="19"/>
      <c r="DC21" s="19"/>
      <c r="DD21" s="19"/>
    </row>
    <row r="22" spans="1:108" x14ac:dyDescent="0.25">
      <c r="A22" s="10" t="s">
        <v>36</v>
      </c>
      <c r="B22" s="10">
        <v>19</v>
      </c>
      <c r="C22" s="10" t="s">
        <v>29</v>
      </c>
      <c r="D22" s="11">
        <v>0.84530386740331487</v>
      </c>
      <c r="E22" s="11">
        <v>0.15469613259668508</v>
      </c>
      <c r="F22" s="10">
        <v>7</v>
      </c>
      <c r="G22" s="10">
        <v>1</v>
      </c>
      <c r="H22" s="10">
        <f t="shared" si="0"/>
        <v>8</v>
      </c>
      <c r="I22" s="10">
        <v>11</v>
      </c>
      <c r="J22" s="10"/>
      <c r="K22" s="10">
        <f t="shared" si="1"/>
        <v>11</v>
      </c>
      <c r="L22" s="10">
        <v>7</v>
      </c>
      <c r="M22" s="10">
        <v>0</v>
      </c>
      <c r="N22" s="10">
        <f t="shared" si="35"/>
        <v>7</v>
      </c>
      <c r="O22" s="10">
        <v>16</v>
      </c>
      <c r="P22" s="10">
        <v>0</v>
      </c>
      <c r="Q22" s="10">
        <f t="shared" si="36"/>
        <v>16</v>
      </c>
      <c r="R22" s="10">
        <v>14</v>
      </c>
      <c r="S22" s="10">
        <v>2</v>
      </c>
      <c r="T22" s="10">
        <f t="shared" si="37"/>
        <v>16</v>
      </c>
      <c r="U22" s="10">
        <v>12</v>
      </c>
      <c r="V22" s="10"/>
      <c r="W22" s="10">
        <f t="shared" si="5"/>
        <v>12</v>
      </c>
      <c r="X22" s="10">
        <v>13</v>
      </c>
      <c r="Y22" s="10"/>
      <c r="Z22" s="10">
        <f t="shared" si="38"/>
        <v>13</v>
      </c>
      <c r="AA22" s="10">
        <v>11</v>
      </c>
      <c r="AB22" s="10"/>
      <c r="AC22" s="10">
        <f t="shared" si="39"/>
        <v>11</v>
      </c>
      <c r="AD22" s="10">
        <v>9</v>
      </c>
      <c r="AE22" s="10"/>
      <c r="AF22" s="10">
        <f t="shared" si="8"/>
        <v>9</v>
      </c>
      <c r="AG22" s="10">
        <v>10</v>
      </c>
      <c r="AH22" s="10">
        <v>1</v>
      </c>
      <c r="AI22" s="10">
        <f t="shared" si="40"/>
        <v>11</v>
      </c>
      <c r="AJ22" s="10">
        <v>11</v>
      </c>
      <c r="AK22" s="10">
        <v>0</v>
      </c>
      <c r="AL22" s="10">
        <f t="shared" si="41"/>
        <v>11</v>
      </c>
      <c r="AM22" s="10">
        <v>19</v>
      </c>
      <c r="AN22" s="10">
        <v>0</v>
      </c>
      <c r="AO22" s="10">
        <f t="shared" si="42"/>
        <v>19</v>
      </c>
      <c r="AP22" s="10">
        <v>11</v>
      </c>
      <c r="AQ22" s="10"/>
      <c r="AR22" s="10">
        <f t="shared" si="12"/>
        <v>11</v>
      </c>
      <c r="AS22" s="10">
        <v>7</v>
      </c>
      <c r="AT22" s="10">
        <v>1</v>
      </c>
      <c r="AU22" s="10">
        <f t="shared" si="13"/>
        <v>8</v>
      </c>
      <c r="AV22" s="10">
        <v>12</v>
      </c>
      <c r="AW22" s="10"/>
      <c r="AX22" s="10">
        <f t="shared" si="14"/>
        <v>12</v>
      </c>
      <c r="AY22" s="10">
        <v>16</v>
      </c>
      <c r="AZ22" s="10"/>
      <c r="BA22" s="10">
        <f t="shared" si="15"/>
        <v>16</v>
      </c>
      <c r="BB22" s="10">
        <v>13</v>
      </c>
      <c r="BC22" s="10"/>
      <c r="BD22" s="10">
        <f t="shared" si="43"/>
        <v>13</v>
      </c>
      <c r="BE22" s="10">
        <v>16</v>
      </c>
      <c r="BF22" s="10"/>
      <c r="BG22" s="10">
        <f t="shared" si="44"/>
        <v>16</v>
      </c>
      <c r="BH22" s="10">
        <v>17</v>
      </c>
      <c r="BI22" s="10"/>
      <c r="BJ22" s="10">
        <f t="shared" si="45"/>
        <v>17</v>
      </c>
      <c r="BK22" s="10">
        <v>11</v>
      </c>
      <c r="BL22" s="10"/>
      <c r="BM22" s="10">
        <f t="shared" si="19"/>
        <v>11</v>
      </c>
      <c r="BN22" s="10">
        <v>14</v>
      </c>
      <c r="BO22" s="10">
        <v>1</v>
      </c>
      <c r="BP22" s="10">
        <f t="shared" si="20"/>
        <v>15</v>
      </c>
      <c r="BQ22" s="10">
        <v>5</v>
      </c>
      <c r="BR22" s="10"/>
      <c r="BS22" s="10">
        <f t="shared" si="21"/>
        <v>5</v>
      </c>
      <c r="BT22" s="10">
        <v>13</v>
      </c>
      <c r="BU22" s="10">
        <v>1</v>
      </c>
      <c r="BV22" s="10">
        <f t="shared" si="22"/>
        <v>14</v>
      </c>
      <c r="BW22" s="10">
        <v>7</v>
      </c>
      <c r="BX22" s="10"/>
      <c r="BY22" s="10">
        <f t="shared" si="46"/>
        <v>7</v>
      </c>
      <c r="BZ22" s="10">
        <v>13</v>
      </c>
      <c r="CA22" s="10"/>
      <c r="CB22" s="10">
        <f t="shared" si="47"/>
        <v>13</v>
      </c>
      <c r="CC22" s="10">
        <v>23</v>
      </c>
      <c r="CD22" s="10"/>
      <c r="CE22" s="10">
        <f t="shared" si="48"/>
        <v>23</v>
      </c>
      <c r="CF22" s="10">
        <v>21</v>
      </c>
      <c r="CG22" s="10">
        <v>1</v>
      </c>
      <c r="CH22" s="10">
        <f t="shared" si="26"/>
        <v>22</v>
      </c>
      <c r="CI22" s="10">
        <v>25</v>
      </c>
      <c r="CJ22" s="10">
        <v>2</v>
      </c>
      <c r="CK22" s="10">
        <f t="shared" si="27"/>
        <v>27</v>
      </c>
      <c r="CL22" s="10">
        <v>12</v>
      </c>
      <c r="CM22" s="10"/>
      <c r="CN22" s="10">
        <f t="shared" si="28"/>
        <v>12</v>
      </c>
      <c r="CO22" s="10">
        <v>12</v>
      </c>
      <c r="CP22" s="10"/>
      <c r="CQ22" s="10">
        <f t="shared" si="29"/>
        <v>12</v>
      </c>
      <c r="CR22" s="10">
        <v>27</v>
      </c>
      <c r="CS22" s="10">
        <v>1</v>
      </c>
      <c r="CT22" s="10">
        <f t="shared" si="30"/>
        <v>28</v>
      </c>
      <c r="CU22" s="10">
        <f t="shared" si="49"/>
        <v>426</v>
      </c>
      <c r="CV22" s="12">
        <f t="shared" si="31"/>
        <v>5.1812211140841648E-2</v>
      </c>
      <c r="CW22" s="10">
        <f t="shared" si="32"/>
        <v>178</v>
      </c>
      <c r="CX22" s="13">
        <f t="shared" si="33"/>
        <v>0.41784037558685444</v>
      </c>
      <c r="CY22" s="14">
        <v>5</v>
      </c>
      <c r="CZ22" s="15">
        <f t="shared" si="50"/>
        <v>5</v>
      </c>
      <c r="DA22" s="13">
        <f t="shared" si="34"/>
        <v>1.1737089201877934E-2</v>
      </c>
      <c r="DB22" s="19"/>
      <c r="DC22" s="19"/>
      <c r="DD22" s="19"/>
    </row>
    <row r="23" spans="1:108" x14ac:dyDescent="0.25">
      <c r="A23" s="18" t="s">
        <v>37</v>
      </c>
      <c r="B23" s="10">
        <v>15</v>
      </c>
      <c r="C23" s="10" t="s">
        <v>29</v>
      </c>
      <c r="D23" s="11">
        <v>0.75443786982248517</v>
      </c>
      <c r="E23" s="11">
        <v>0.2455621301775148</v>
      </c>
      <c r="F23" s="10">
        <v>3</v>
      </c>
      <c r="G23" s="10">
        <v>3</v>
      </c>
      <c r="H23" s="10">
        <f t="shared" si="0"/>
        <v>6</v>
      </c>
      <c r="I23" s="10">
        <v>4</v>
      </c>
      <c r="J23" s="10"/>
      <c r="K23" s="10">
        <f t="shared" si="1"/>
        <v>4</v>
      </c>
      <c r="L23" s="10">
        <v>6</v>
      </c>
      <c r="M23" s="10">
        <v>0</v>
      </c>
      <c r="N23" s="10">
        <f t="shared" si="35"/>
        <v>6</v>
      </c>
      <c r="O23" s="10">
        <v>4</v>
      </c>
      <c r="P23" s="10">
        <v>3</v>
      </c>
      <c r="Q23" s="10">
        <f t="shared" si="36"/>
        <v>7</v>
      </c>
      <c r="R23" s="10">
        <v>4</v>
      </c>
      <c r="S23" s="10">
        <v>2</v>
      </c>
      <c r="T23" s="10">
        <f t="shared" si="37"/>
        <v>6</v>
      </c>
      <c r="U23" s="10">
        <v>6</v>
      </c>
      <c r="V23" s="10">
        <v>1</v>
      </c>
      <c r="W23" s="10">
        <f t="shared" si="5"/>
        <v>7</v>
      </c>
      <c r="X23" s="10">
        <v>9</v>
      </c>
      <c r="Y23" s="10"/>
      <c r="Z23" s="10">
        <f t="shared" si="38"/>
        <v>9</v>
      </c>
      <c r="AA23" s="10">
        <v>7</v>
      </c>
      <c r="AB23" s="10"/>
      <c r="AC23" s="10">
        <f t="shared" si="39"/>
        <v>7</v>
      </c>
      <c r="AD23" s="10">
        <v>23</v>
      </c>
      <c r="AE23" s="10">
        <v>6</v>
      </c>
      <c r="AF23" s="10">
        <f t="shared" si="8"/>
        <v>29</v>
      </c>
      <c r="AG23" s="10">
        <v>6</v>
      </c>
      <c r="AH23" s="10">
        <v>0</v>
      </c>
      <c r="AI23" s="10">
        <f t="shared" si="40"/>
        <v>6</v>
      </c>
      <c r="AJ23" s="10">
        <v>12</v>
      </c>
      <c r="AK23" s="10">
        <v>1</v>
      </c>
      <c r="AL23" s="10">
        <f t="shared" si="41"/>
        <v>13</v>
      </c>
      <c r="AM23" s="10">
        <v>12</v>
      </c>
      <c r="AN23" s="10">
        <v>4</v>
      </c>
      <c r="AO23" s="10">
        <f t="shared" si="42"/>
        <v>16</v>
      </c>
      <c r="AP23" s="10">
        <v>6</v>
      </c>
      <c r="AQ23" s="10">
        <v>2</v>
      </c>
      <c r="AR23" s="10">
        <f t="shared" si="12"/>
        <v>8</v>
      </c>
      <c r="AS23" s="10">
        <v>5</v>
      </c>
      <c r="AT23" s="10">
        <v>1</v>
      </c>
      <c r="AU23" s="10">
        <f t="shared" si="13"/>
        <v>6</v>
      </c>
      <c r="AV23" s="10">
        <v>7</v>
      </c>
      <c r="AW23" s="10">
        <v>5</v>
      </c>
      <c r="AX23" s="10">
        <f t="shared" si="14"/>
        <v>12</v>
      </c>
      <c r="AY23" s="10">
        <v>7</v>
      </c>
      <c r="AZ23" s="10">
        <v>1</v>
      </c>
      <c r="BA23" s="10">
        <f t="shared" si="15"/>
        <v>8</v>
      </c>
      <c r="BB23" s="10">
        <v>7</v>
      </c>
      <c r="BC23" s="10">
        <v>3</v>
      </c>
      <c r="BD23" s="10">
        <f t="shared" si="43"/>
        <v>10</v>
      </c>
      <c r="BE23" s="10">
        <v>5</v>
      </c>
      <c r="BF23" s="10">
        <v>4</v>
      </c>
      <c r="BG23" s="10">
        <f t="shared" si="44"/>
        <v>9</v>
      </c>
      <c r="BH23" s="10">
        <v>8</v>
      </c>
      <c r="BI23" s="10">
        <v>4</v>
      </c>
      <c r="BJ23" s="10">
        <f t="shared" si="45"/>
        <v>12</v>
      </c>
      <c r="BK23" s="10">
        <v>7</v>
      </c>
      <c r="BL23" s="10">
        <v>6</v>
      </c>
      <c r="BM23" s="10">
        <f t="shared" si="19"/>
        <v>13</v>
      </c>
      <c r="BN23" s="10">
        <v>11</v>
      </c>
      <c r="BO23" s="10">
        <v>4</v>
      </c>
      <c r="BP23" s="10">
        <f t="shared" si="20"/>
        <v>15</v>
      </c>
      <c r="BQ23" s="10">
        <v>12</v>
      </c>
      <c r="BR23" s="10">
        <v>4</v>
      </c>
      <c r="BS23" s="10">
        <f t="shared" si="21"/>
        <v>16</v>
      </c>
      <c r="BT23" s="10">
        <v>6</v>
      </c>
      <c r="BU23" s="10">
        <v>5</v>
      </c>
      <c r="BV23" s="10">
        <f t="shared" si="22"/>
        <v>11</v>
      </c>
      <c r="BW23" s="10">
        <v>5</v>
      </c>
      <c r="BX23" s="10">
        <v>5</v>
      </c>
      <c r="BY23" s="10">
        <f t="shared" si="46"/>
        <v>10</v>
      </c>
      <c r="BZ23" s="10">
        <v>5</v>
      </c>
      <c r="CA23" s="10">
        <v>5</v>
      </c>
      <c r="CB23" s="10">
        <f t="shared" si="47"/>
        <v>10</v>
      </c>
      <c r="CC23" s="10">
        <v>10</v>
      </c>
      <c r="CD23" s="10">
        <v>2</v>
      </c>
      <c r="CE23" s="10">
        <f t="shared" si="48"/>
        <v>12</v>
      </c>
      <c r="CF23" s="10">
        <v>14</v>
      </c>
      <c r="CG23" s="10">
        <v>7</v>
      </c>
      <c r="CH23" s="10">
        <f t="shared" si="26"/>
        <v>21</v>
      </c>
      <c r="CI23" s="10">
        <v>16</v>
      </c>
      <c r="CJ23" s="10">
        <v>1</v>
      </c>
      <c r="CK23" s="10">
        <f t="shared" si="27"/>
        <v>17</v>
      </c>
      <c r="CL23" s="10">
        <v>20</v>
      </c>
      <c r="CM23" s="10"/>
      <c r="CN23" s="10">
        <f t="shared" si="28"/>
        <v>20</v>
      </c>
      <c r="CO23" s="10">
        <v>19</v>
      </c>
      <c r="CP23" s="10">
        <v>1</v>
      </c>
      <c r="CQ23" s="10">
        <f t="shared" si="29"/>
        <v>20</v>
      </c>
      <c r="CR23" s="10">
        <v>22</v>
      </c>
      <c r="CS23" s="10">
        <v>2</v>
      </c>
      <c r="CT23" s="10">
        <f t="shared" si="30"/>
        <v>24</v>
      </c>
      <c r="CU23" s="10">
        <f t="shared" si="49"/>
        <v>370</v>
      </c>
      <c r="CV23" s="12">
        <f t="shared" si="31"/>
        <v>4.5001216249087816E-2</v>
      </c>
      <c r="CW23" s="10">
        <f t="shared" si="32"/>
        <v>69</v>
      </c>
      <c r="CX23" s="13">
        <f t="shared" si="33"/>
        <v>0.1864864864864865</v>
      </c>
      <c r="CY23" s="14">
        <v>4</v>
      </c>
      <c r="CZ23" s="15">
        <f t="shared" si="50"/>
        <v>4</v>
      </c>
      <c r="DA23" s="13">
        <f t="shared" si="34"/>
        <v>1.0810810810810811E-2</v>
      </c>
      <c r="DB23" s="19"/>
      <c r="DC23" s="19"/>
      <c r="DD23" s="19"/>
    </row>
    <row r="24" spans="1:108" x14ac:dyDescent="0.25">
      <c r="A24" s="10" t="s">
        <v>38</v>
      </c>
      <c r="B24" s="10">
        <v>0</v>
      </c>
      <c r="C24" s="10" t="s">
        <v>29</v>
      </c>
      <c r="D24" s="11">
        <v>0.75</v>
      </c>
      <c r="E24" s="11">
        <v>0.25</v>
      </c>
      <c r="F24" s="10"/>
      <c r="G24" s="10"/>
      <c r="H24" s="10">
        <f t="shared" si="0"/>
        <v>0</v>
      </c>
      <c r="I24" s="10"/>
      <c r="J24" s="10"/>
      <c r="K24" s="10">
        <f t="shared" si="1"/>
        <v>0</v>
      </c>
      <c r="L24" s="10">
        <v>0</v>
      </c>
      <c r="M24" s="10"/>
      <c r="N24" s="10">
        <f t="shared" si="35"/>
        <v>0</v>
      </c>
      <c r="O24" s="10">
        <v>1</v>
      </c>
      <c r="P24" s="10"/>
      <c r="Q24" s="10">
        <f t="shared" si="36"/>
        <v>1</v>
      </c>
      <c r="R24" s="10">
        <v>0</v>
      </c>
      <c r="S24" s="10"/>
      <c r="T24" s="10">
        <f t="shared" si="37"/>
        <v>0</v>
      </c>
      <c r="U24" s="10">
        <v>2</v>
      </c>
      <c r="V24" s="10"/>
      <c r="W24" s="10">
        <f t="shared" si="5"/>
        <v>2</v>
      </c>
      <c r="X24" s="10"/>
      <c r="Y24" s="10"/>
      <c r="Z24" s="10">
        <f t="shared" si="38"/>
        <v>0</v>
      </c>
      <c r="AA24" s="10"/>
      <c r="AB24" s="10"/>
      <c r="AC24" s="10">
        <f t="shared" si="39"/>
        <v>0</v>
      </c>
      <c r="AD24" s="10"/>
      <c r="AE24" s="10"/>
      <c r="AF24" s="10">
        <f t="shared" si="8"/>
        <v>0</v>
      </c>
      <c r="AG24" s="10">
        <v>2</v>
      </c>
      <c r="AH24" s="10"/>
      <c r="AI24" s="10">
        <f t="shared" si="40"/>
        <v>2</v>
      </c>
      <c r="AJ24" s="10">
        <v>1</v>
      </c>
      <c r="AK24" s="10"/>
      <c r="AL24" s="10">
        <f t="shared" si="41"/>
        <v>1</v>
      </c>
      <c r="AM24" s="10">
        <v>0</v>
      </c>
      <c r="AN24" s="10"/>
      <c r="AO24" s="10">
        <f t="shared" si="42"/>
        <v>0</v>
      </c>
      <c r="AP24" s="10"/>
      <c r="AQ24" s="10"/>
      <c r="AR24" s="10">
        <f t="shared" si="12"/>
        <v>0</v>
      </c>
      <c r="AS24" s="10"/>
      <c r="AT24" s="10"/>
      <c r="AU24" s="10">
        <f t="shared" si="13"/>
        <v>0</v>
      </c>
      <c r="AV24" s="10">
        <v>1</v>
      </c>
      <c r="AW24" s="10"/>
      <c r="AX24" s="10">
        <f t="shared" si="14"/>
        <v>1</v>
      </c>
      <c r="AY24" s="10"/>
      <c r="AZ24" s="10"/>
      <c r="BA24" s="10">
        <f t="shared" si="15"/>
        <v>0</v>
      </c>
      <c r="BB24" s="10">
        <v>1</v>
      </c>
      <c r="BC24" s="10"/>
      <c r="BD24" s="10">
        <f t="shared" si="43"/>
        <v>1</v>
      </c>
      <c r="BE24" s="10">
        <v>1</v>
      </c>
      <c r="BF24" s="10"/>
      <c r="BG24" s="10">
        <f t="shared" si="44"/>
        <v>1</v>
      </c>
      <c r="BH24" s="10">
        <v>1</v>
      </c>
      <c r="BI24" s="10"/>
      <c r="BJ24" s="10">
        <f t="shared" si="45"/>
        <v>1</v>
      </c>
      <c r="BK24" s="10">
        <v>4</v>
      </c>
      <c r="BL24" s="10"/>
      <c r="BM24" s="10">
        <f t="shared" si="19"/>
        <v>4</v>
      </c>
      <c r="BN24" s="10"/>
      <c r="BO24" s="10"/>
      <c r="BP24" s="10">
        <f t="shared" si="20"/>
        <v>0</v>
      </c>
      <c r="BQ24" s="10">
        <v>2</v>
      </c>
      <c r="BR24" s="10"/>
      <c r="BS24" s="10">
        <f t="shared" si="21"/>
        <v>2</v>
      </c>
      <c r="BT24" s="10">
        <v>3</v>
      </c>
      <c r="BU24" s="10"/>
      <c r="BV24" s="10">
        <f t="shared" si="22"/>
        <v>3</v>
      </c>
      <c r="BW24" s="10">
        <v>1</v>
      </c>
      <c r="BX24" s="10"/>
      <c r="BY24" s="10">
        <f t="shared" si="46"/>
        <v>1</v>
      </c>
      <c r="BZ24" s="10">
        <v>5</v>
      </c>
      <c r="CA24" s="10"/>
      <c r="CB24" s="10">
        <f t="shared" si="47"/>
        <v>5</v>
      </c>
      <c r="CC24" s="10">
        <v>3</v>
      </c>
      <c r="CD24" s="10"/>
      <c r="CE24" s="10">
        <f t="shared" si="48"/>
        <v>3</v>
      </c>
      <c r="CF24" s="10">
        <v>2</v>
      </c>
      <c r="CG24" s="10"/>
      <c r="CH24" s="10">
        <f t="shared" si="26"/>
        <v>2</v>
      </c>
      <c r="CI24" s="10">
        <v>3</v>
      </c>
      <c r="CJ24" s="10"/>
      <c r="CK24" s="10">
        <f t="shared" si="27"/>
        <v>3</v>
      </c>
      <c r="CL24" s="10">
        <v>4</v>
      </c>
      <c r="CM24" s="10"/>
      <c r="CN24" s="10">
        <f t="shared" si="28"/>
        <v>4</v>
      </c>
      <c r="CO24" s="10">
        <v>1</v>
      </c>
      <c r="CP24" s="10"/>
      <c r="CQ24" s="10">
        <f t="shared" si="29"/>
        <v>1</v>
      </c>
      <c r="CR24" s="10">
        <v>3</v>
      </c>
      <c r="CS24" s="10"/>
      <c r="CT24" s="10">
        <f t="shared" si="30"/>
        <v>3</v>
      </c>
      <c r="CU24" s="10">
        <f t="shared" si="49"/>
        <v>41</v>
      </c>
      <c r="CV24" s="12">
        <f t="shared" si="31"/>
        <v>4.9866212600340552E-3</v>
      </c>
      <c r="CW24" s="10">
        <f t="shared" si="32"/>
        <v>31</v>
      </c>
      <c r="CX24" s="13">
        <f t="shared" si="33"/>
        <v>0.75609756097560976</v>
      </c>
      <c r="CY24" s="14"/>
      <c r="CZ24" s="15">
        <f t="shared" si="50"/>
        <v>0</v>
      </c>
      <c r="DA24" s="13">
        <f t="shared" si="34"/>
        <v>0</v>
      </c>
      <c r="DB24" s="19"/>
      <c r="DC24" s="19"/>
      <c r="DD24" s="19"/>
    </row>
    <row r="25" spans="1:108" x14ac:dyDescent="0.25">
      <c r="A25" s="10" t="s">
        <v>39</v>
      </c>
      <c r="B25" s="10">
        <v>15</v>
      </c>
      <c r="C25" s="10" t="s">
        <v>29</v>
      </c>
      <c r="D25" s="11">
        <v>0.83673469387755106</v>
      </c>
      <c r="E25" s="11">
        <v>0.16326530612244897</v>
      </c>
      <c r="F25" s="10">
        <v>10</v>
      </c>
      <c r="G25" s="10"/>
      <c r="H25" s="10">
        <f t="shared" si="0"/>
        <v>10</v>
      </c>
      <c r="I25" s="10">
        <v>8</v>
      </c>
      <c r="J25" s="10"/>
      <c r="K25" s="10">
        <f t="shared" si="1"/>
        <v>8</v>
      </c>
      <c r="L25" s="10">
        <v>8</v>
      </c>
      <c r="M25" s="10"/>
      <c r="N25" s="10">
        <f t="shared" si="35"/>
        <v>8</v>
      </c>
      <c r="O25" s="10">
        <v>9</v>
      </c>
      <c r="P25" s="10"/>
      <c r="Q25" s="10">
        <f t="shared" si="36"/>
        <v>9</v>
      </c>
      <c r="R25" s="10">
        <v>15</v>
      </c>
      <c r="S25" s="10"/>
      <c r="T25" s="10">
        <f t="shared" si="37"/>
        <v>15</v>
      </c>
      <c r="U25" s="10">
        <v>14</v>
      </c>
      <c r="V25" s="10"/>
      <c r="W25" s="10">
        <f t="shared" si="5"/>
        <v>14</v>
      </c>
      <c r="X25" s="10">
        <v>5</v>
      </c>
      <c r="Y25" s="10"/>
      <c r="Z25" s="10">
        <f t="shared" si="38"/>
        <v>5</v>
      </c>
      <c r="AA25" s="10">
        <v>7</v>
      </c>
      <c r="AB25" s="10"/>
      <c r="AC25" s="10">
        <f t="shared" si="39"/>
        <v>7</v>
      </c>
      <c r="AD25" s="10">
        <v>4</v>
      </c>
      <c r="AE25" s="10"/>
      <c r="AF25" s="10">
        <f t="shared" si="8"/>
        <v>4</v>
      </c>
      <c r="AG25" s="10">
        <v>9</v>
      </c>
      <c r="AH25" s="10"/>
      <c r="AI25" s="10">
        <f t="shared" si="40"/>
        <v>9</v>
      </c>
      <c r="AJ25" s="10">
        <v>13</v>
      </c>
      <c r="AK25" s="10"/>
      <c r="AL25" s="10">
        <f t="shared" si="41"/>
        <v>13</v>
      </c>
      <c r="AM25" s="10">
        <v>10</v>
      </c>
      <c r="AN25" s="10"/>
      <c r="AO25" s="10">
        <f t="shared" si="42"/>
        <v>10</v>
      </c>
      <c r="AP25" s="10">
        <v>7</v>
      </c>
      <c r="AQ25" s="10"/>
      <c r="AR25" s="10">
        <f t="shared" si="12"/>
        <v>7</v>
      </c>
      <c r="AS25" s="10">
        <v>6</v>
      </c>
      <c r="AT25" s="10"/>
      <c r="AU25" s="10">
        <f t="shared" si="13"/>
        <v>6</v>
      </c>
      <c r="AV25" s="10">
        <v>9</v>
      </c>
      <c r="AW25" s="10"/>
      <c r="AX25" s="10">
        <f t="shared" si="14"/>
        <v>9</v>
      </c>
      <c r="AY25" s="10">
        <v>3</v>
      </c>
      <c r="AZ25" s="10"/>
      <c r="BA25" s="10">
        <f t="shared" si="15"/>
        <v>3</v>
      </c>
      <c r="BB25" s="10">
        <v>9</v>
      </c>
      <c r="BC25" s="10"/>
      <c r="BD25" s="10">
        <f t="shared" si="43"/>
        <v>9</v>
      </c>
      <c r="BE25" s="10">
        <v>6</v>
      </c>
      <c r="BF25" s="10"/>
      <c r="BG25" s="10">
        <f t="shared" si="44"/>
        <v>6</v>
      </c>
      <c r="BH25" s="10">
        <v>7</v>
      </c>
      <c r="BI25" s="10"/>
      <c r="BJ25" s="10">
        <f t="shared" si="45"/>
        <v>7</v>
      </c>
      <c r="BK25" s="10">
        <v>6</v>
      </c>
      <c r="BL25" s="10"/>
      <c r="BM25" s="10">
        <f t="shared" si="19"/>
        <v>6</v>
      </c>
      <c r="BN25" s="10">
        <v>16</v>
      </c>
      <c r="BO25" s="10"/>
      <c r="BP25" s="10">
        <f t="shared" si="20"/>
        <v>16</v>
      </c>
      <c r="BQ25" s="10">
        <v>18</v>
      </c>
      <c r="BR25" s="10"/>
      <c r="BS25" s="10">
        <f t="shared" si="21"/>
        <v>18</v>
      </c>
      <c r="BT25" s="10">
        <v>8</v>
      </c>
      <c r="BU25" s="10"/>
      <c r="BV25" s="10">
        <f t="shared" si="22"/>
        <v>8</v>
      </c>
      <c r="BW25" s="10">
        <v>7</v>
      </c>
      <c r="BX25" s="10"/>
      <c r="BY25" s="10">
        <f t="shared" si="46"/>
        <v>7</v>
      </c>
      <c r="BZ25" s="10">
        <v>19</v>
      </c>
      <c r="CA25" s="10"/>
      <c r="CB25" s="10">
        <f t="shared" si="47"/>
        <v>19</v>
      </c>
      <c r="CC25" s="10">
        <v>8</v>
      </c>
      <c r="CD25" s="10"/>
      <c r="CE25" s="10">
        <f t="shared" si="48"/>
        <v>8</v>
      </c>
      <c r="CF25" s="10">
        <v>11</v>
      </c>
      <c r="CG25" s="10"/>
      <c r="CH25" s="10">
        <f t="shared" si="26"/>
        <v>11</v>
      </c>
      <c r="CI25" s="10">
        <v>26</v>
      </c>
      <c r="CJ25" s="10"/>
      <c r="CK25" s="10">
        <f t="shared" si="27"/>
        <v>26</v>
      </c>
      <c r="CL25" s="10">
        <v>13</v>
      </c>
      <c r="CM25" s="10"/>
      <c r="CN25" s="10">
        <f t="shared" si="28"/>
        <v>13</v>
      </c>
      <c r="CO25" s="10">
        <v>15</v>
      </c>
      <c r="CP25" s="10"/>
      <c r="CQ25" s="10">
        <f t="shared" si="29"/>
        <v>15</v>
      </c>
      <c r="CR25" s="10">
        <v>18</v>
      </c>
      <c r="CS25" s="10"/>
      <c r="CT25" s="10">
        <f t="shared" si="30"/>
        <v>18</v>
      </c>
      <c r="CU25" s="10">
        <f t="shared" si="49"/>
        <v>324</v>
      </c>
      <c r="CV25" s="12">
        <f t="shared" si="31"/>
        <v>3.9406470445147168E-2</v>
      </c>
      <c r="CW25" s="10">
        <f t="shared" si="32"/>
        <v>218</v>
      </c>
      <c r="CX25" s="13">
        <f t="shared" si="33"/>
        <v>0.6728395061728395</v>
      </c>
      <c r="CY25" s="14">
        <v>3</v>
      </c>
      <c r="CZ25" s="15">
        <f t="shared" si="50"/>
        <v>3</v>
      </c>
      <c r="DA25" s="13">
        <f t="shared" si="34"/>
        <v>9.2592592592592587E-3</v>
      </c>
      <c r="DB25" s="19"/>
      <c r="DC25" s="19"/>
      <c r="DD25" s="19"/>
    </row>
    <row r="26" spans="1:108" x14ac:dyDescent="0.25">
      <c r="A26" s="9" t="s">
        <v>40</v>
      </c>
      <c r="B26" s="10">
        <v>17</v>
      </c>
      <c r="C26" s="10" t="s">
        <v>29</v>
      </c>
      <c r="D26" s="11">
        <v>0.80071174377224197</v>
      </c>
      <c r="E26" s="11">
        <v>0.199288256227758</v>
      </c>
      <c r="F26" s="10">
        <v>30</v>
      </c>
      <c r="G26" s="10"/>
      <c r="H26" s="10">
        <f t="shared" si="0"/>
        <v>30</v>
      </c>
      <c r="I26" s="10">
        <v>29</v>
      </c>
      <c r="J26" s="10"/>
      <c r="K26" s="10">
        <f t="shared" si="1"/>
        <v>29</v>
      </c>
      <c r="L26" s="10">
        <v>27</v>
      </c>
      <c r="M26" s="10">
        <v>0</v>
      </c>
      <c r="N26" s="10">
        <f t="shared" si="35"/>
        <v>27</v>
      </c>
      <c r="O26" s="10">
        <v>25</v>
      </c>
      <c r="P26" s="10">
        <v>0</v>
      </c>
      <c r="Q26" s="10">
        <f t="shared" si="36"/>
        <v>25</v>
      </c>
      <c r="R26" s="10">
        <v>38</v>
      </c>
      <c r="S26" s="10">
        <v>1</v>
      </c>
      <c r="T26" s="10">
        <f t="shared" si="37"/>
        <v>39</v>
      </c>
      <c r="U26" s="10">
        <v>22</v>
      </c>
      <c r="V26" s="10"/>
      <c r="W26" s="10">
        <f t="shared" si="5"/>
        <v>22</v>
      </c>
      <c r="X26" s="10">
        <v>30</v>
      </c>
      <c r="Y26" s="10"/>
      <c r="Z26" s="10">
        <f t="shared" si="38"/>
        <v>30</v>
      </c>
      <c r="AA26" s="10">
        <v>46</v>
      </c>
      <c r="AB26" s="10"/>
      <c r="AC26" s="10">
        <f t="shared" si="39"/>
        <v>46</v>
      </c>
      <c r="AD26" s="10">
        <v>31</v>
      </c>
      <c r="AE26" s="10">
        <v>4</v>
      </c>
      <c r="AF26" s="10">
        <f t="shared" si="8"/>
        <v>35</v>
      </c>
      <c r="AG26" s="10">
        <v>36</v>
      </c>
      <c r="AH26" s="10">
        <v>0</v>
      </c>
      <c r="AI26" s="10">
        <f t="shared" si="40"/>
        <v>36</v>
      </c>
      <c r="AJ26" s="10">
        <v>35</v>
      </c>
      <c r="AK26" s="10">
        <v>1</v>
      </c>
      <c r="AL26" s="10">
        <f t="shared" si="41"/>
        <v>36</v>
      </c>
      <c r="AM26" s="10">
        <v>47</v>
      </c>
      <c r="AN26" s="10">
        <v>3</v>
      </c>
      <c r="AO26" s="10">
        <f t="shared" si="42"/>
        <v>50</v>
      </c>
      <c r="AP26" s="10">
        <v>26</v>
      </c>
      <c r="AQ26" s="10"/>
      <c r="AR26" s="10">
        <f t="shared" si="12"/>
        <v>26</v>
      </c>
      <c r="AS26" s="10">
        <v>25</v>
      </c>
      <c r="AT26" s="10">
        <v>1</v>
      </c>
      <c r="AU26" s="10">
        <f t="shared" si="13"/>
        <v>26</v>
      </c>
      <c r="AV26" s="10">
        <v>40</v>
      </c>
      <c r="AW26" s="10"/>
      <c r="AX26" s="10">
        <f t="shared" si="14"/>
        <v>40</v>
      </c>
      <c r="AY26" s="10">
        <v>45</v>
      </c>
      <c r="AZ26" s="10">
        <v>1</v>
      </c>
      <c r="BA26" s="10">
        <f t="shared" si="15"/>
        <v>46</v>
      </c>
      <c r="BB26" s="10">
        <v>90</v>
      </c>
      <c r="BC26" s="10">
        <v>2</v>
      </c>
      <c r="BD26" s="10">
        <f t="shared" si="43"/>
        <v>92</v>
      </c>
      <c r="BE26" s="10">
        <v>94</v>
      </c>
      <c r="BF26" s="10"/>
      <c r="BG26" s="10">
        <f t="shared" si="44"/>
        <v>94</v>
      </c>
      <c r="BH26" s="10">
        <v>122</v>
      </c>
      <c r="BI26" s="10"/>
      <c r="BJ26" s="10">
        <f t="shared" si="45"/>
        <v>122</v>
      </c>
      <c r="BK26" s="10">
        <v>115</v>
      </c>
      <c r="BL26" s="10"/>
      <c r="BM26" s="10">
        <f t="shared" si="19"/>
        <v>115</v>
      </c>
      <c r="BN26" s="10">
        <v>141</v>
      </c>
      <c r="BO26" s="10">
        <v>3</v>
      </c>
      <c r="BP26" s="10">
        <f t="shared" si="20"/>
        <v>144</v>
      </c>
      <c r="BQ26" s="10">
        <v>114</v>
      </c>
      <c r="BR26" s="10">
        <v>2</v>
      </c>
      <c r="BS26" s="10">
        <f t="shared" si="21"/>
        <v>116</v>
      </c>
      <c r="BT26" s="10">
        <v>101</v>
      </c>
      <c r="BU26" s="10">
        <v>3</v>
      </c>
      <c r="BV26" s="10">
        <f t="shared" si="22"/>
        <v>104</v>
      </c>
      <c r="BW26" s="10">
        <v>88</v>
      </c>
      <c r="BX26" s="10">
        <v>3</v>
      </c>
      <c r="BY26" s="10">
        <f t="shared" si="46"/>
        <v>91</v>
      </c>
      <c r="BZ26" s="10">
        <v>102</v>
      </c>
      <c r="CA26" s="10">
        <v>2</v>
      </c>
      <c r="CB26" s="10">
        <f t="shared" si="47"/>
        <v>104</v>
      </c>
      <c r="CC26" s="10">
        <v>124</v>
      </c>
      <c r="CD26" s="10">
        <v>0</v>
      </c>
      <c r="CE26" s="10">
        <f t="shared" si="48"/>
        <v>124</v>
      </c>
      <c r="CF26" s="10">
        <v>109</v>
      </c>
      <c r="CG26" s="10">
        <v>4</v>
      </c>
      <c r="CH26" s="10">
        <f t="shared" si="26"/>
        <v>113</v>
      </c>
      <c r="CI26" s="10">
        <v>95</v>
      </c>
      <c r="CJ26" s="10">
        <v>3</v>
      </c>
      <c r="CK26" s="10">
        <f t="shared" si="27"/>
        <v>98</v>
      </c>
      <c r="CL26" s="10">
        <v>98</v>
      </c>
      <c r="CM26" s="10"/>
      <c r="CN26" s="10">
        <f t="shared" si="28"/>
        <v>98</v>
      </c>
      <c r="CO26" s="10">
        <v>87</v>
      </c>
      <c r="CP26" s="10">
        <v>2</v>
      </c>
      <c r="CQ26" s="10">
        <f t="shared" si="29"/>
        <v>89</v>
      </c>
      <c r="CR26" s="10">
        <v>107</v>
      </c>
      <c r="CS26" s="10">
        <v>0</v>
      </c>
      <c r="CT26" s="10">
        <f t="shared" si="30"/>
        <v>107</v>
      </c>
      <c r="CU26" s="10">
        <f t="shared" si="49"/>
        <v>2154</v>
      </c>
      <c r="CV26" s="12">
        <f t="shared" si="31"/>
        <v>0.26198005351495984</v>
      </c>
      <c r="CW26" s="10">
        <f t="shared" si="32"/>
        <v>1524</v>
      </c>
      <c r="CX26" s="13">
        <f t="shared" si="33"/>
        <v>0.70752089136490248</v>
      </c>
      <c r="CY26" s="14">
        <v>15</v>
      </c>
      <c r="CZ26" s="15">
        <f t="shared" si="50"/>
        <v>15</v>
      </c>
      <c r="DA26" s="13">
        <f t="shared" si="34"/>
        <v>6.9637883008356544E-3</v>
      </c>
      <c r="DB26" s="19"/>
      <c r="DC26" s="19"/>
      <c r="DD26" s="19"/>
    </row>
    <row r="27" spans="1:108" x14ac:dyDescent="0.25">
      <c r="A27" s="9" t="s">
        <v>41</v>
      </c>
      <c r="B27" s="10">
        <v>5</v>
      </c>
      <c r="C27" s="10" t="s">
        <v>29</v>
      </c>
      <c r="D27" s="11">
        <v>0.80952380952380953</v>
      </c>
      <c r="E27" s="11">
        <v>0.19047619047619047</v>
      </c>
      <c r="F27" s="10">
        <v>3</v>
      </c>
      <c r="G27" s="10"/>
      <c r="H27" s="10">
        <f t="shared" si="0"/>
        <v>3</v>
      </c>
      <c r="I27" s="10">
        <v>6</v>
      </c>
      <c r="J27" s="10"/>
      <c r="K27" s="10">
        <f t="shared" si="1"/>
        <v>6</v>
      </c>
      <c r="L27" s="10">
        <v>5</v>
      </c>
      <c r="M27" s="10"/>
      <c r="N27" s="10">
        <f t="shared" si="35"/>
        <v>5</v>
      </c>
      <c r="O27" s="10">
        <v>7</v>
      </c>
      <c r="P27" s="10"/>
      <c r="Q27" s="10">
        <f t="shared" si="36"/>
        <v>7</v>
      </c>
      <c r="R27" s="10">
        <v>14</v>
      </c>
      <c r="S27" s="10"/>
      <c r="T27" s="10">
        <f t="shared" si="37"/>
        <v>14</v>
      </c>
      <c r="U27" s="10">
        <v>10</v>
      </c>
      <c r="V27" s="10"/>
      <c r="W27" s="10">
        <f t="shared" si="5"/>
        <v>10</v>
      </c>
      <c r="X27" s="10">
        <v>8</v>
      </c>
      <c r="Y27" s="10"/>
      <c r="Z27" s="10">
        <f t="shared" si="38"/>
        <v>8</v>
      </c>
      <c r="AA27" s="10">
        <v>12</v>
      </c>
      <c r="AB27" s="10"/>
      <c r="AC27" s="10">
        <f t="shared" si="39"/>
        <v>12</v>
      </c>
      <c r="AD27" s="10">
        <v>8</v>
      </c>
      <c r="AE27" s="10"/>
      <c r="AF27" s="10">
        <f t="shared" si="8"/>
        <v>8</v>
      </c>
      <c r="AG27" s="10">
        <v>7</v>
      </c>
      <c r="AH27" s="10"/>
      <c r="AI27" s="10">
        <f t="shared" si="40"/>
        <v>7</v>
      </c>
      <c r="AJ27" s="10">
        <v>7</v>
      </c>
      <c r="AK27" s="10"/>
      <c r="AL27" s="10">
        <f t="shared" si="41"/>
        <v>7</v>
      </c>
      <c r="AM27" s="10">
        <v>17</v>
      </c>
      <c r="AN27" s="10"/>
      <c r="AO27" s="10">
        <f t="shared" si="42"/>
        <v>17</v>
      </c>
      <c r="AP27" s="10">
        <v>4</v>
      </c>
      <c r="AQ27" s="10"/>
      <c r="AR27" s="10">
        <f t="shared" si="12"/>
        <v>4</v>
      </c>
      <c r="AS27" s="10">
        <v>2</v>
      </c>
      <c r="AT27" s="10"/>
      <c r="AU27" s="10">
        <f t="shared" si="13"/>
        <v>2</v>
      </c>
      <c r="AV27" s="10">
        <v>7</v>
      </c>
      <c r="AW27" s="10"/>
      <c r="AX27" s="10">
        <f t="shared" si="14"/>
        <v>7</v>
      </c>
      <c r="AY27" s="10">
        <v>4</v>
      </c>
      <c r="AZ27" s="10"/>
      <c r="BA27" s="10">
        <f t="shared" si="15"/>
        <v>4</v>
      </c>
      <c r="BB27" s="10">
        <v>11</v>
      </c>
      <c r="BC27" s="10"/>
      <c r="BD27" s="10">
        <f t="shared" si="43"/>
        <v>11</v>
      </c>
      <c r="BE27" s="10">
        <v>7</v>
      </c>
      <c r="BF27" s="10"/>
      <c r="BG27" s="10">
        <f t="shared" si="44"/>
        <v>7</v>
      </c>
      <c r="BH27" s="10">
        <v>18</v>
      </c>
      <c r="BI27" s="10"/>
      <c r="BJ27" s="10">
        <f t="shared" si="45"/>
        <v>18</v>
      </c>
      <c r="BK27" s="10">
        <v>7</v>
      </c>
      <c r="BL27" s="10"/>
      <c r="BM27" s="10">
        <f t="shared" si="19"/>
        <v>7</v>
      </c>
      <c r="BN27" s="10">
        <v>6</v>
      </c>
      <c r="BO27" s="10"/>
      <c r="BP27" s="10">
        <f t="shared" si="20"/>
        <v>6</v>
      </c>
      <c r="BQ27" s="10">
        <v>11</v>
      </c>
      <c r="BR27" s="10"/>
      <c r="BS27" s="10">
        <f t="shared" si="21"/>
        <v>11</v>
      </c>
      <c r="BT27" s="10">
        <v>10</v>
      </c>
      <c r="BU27" s="10"/>
      <c r="BV27" s="10">
        <f t="shared" si="22"/>
        <v>10</v>
      </c>
      <c r="BW27" s="10">
        <v>12</v>
      </c>
      <c r="BX27" s="10"/>
      <c r="BY27" s="10">
        <f t="shared" si="46"/>
        <v>12</v>
      </c>
      <c r="BZ27" s="10">
        <v>14</v>
      </c>
      <c r="CA27" s="10"/>
      <c r="CB27" s="10">
        <f t="shared" si="47"/>
        <v>14</v>
      </c>
      <c r="CC27" s="10">
        <v>9</v>
      </c>
      <c r="CD27" s="10"/>
      <c r="CE27" s="10">
        <f t="shared" si="48"/>
        <v>9</v>
      </c>
      <c r="CF27" s="10">
        <v>8</v>
      </c>
      <c r="CG27" s="10"/>
      <c r="CH27" s="10">
        <f t="shared" si="26"/>
        <v>8</v>
      </c>
      <c r="CI27" s="10">
        <v>4</v>
      </c>
      <c r="CJ27" s="10"/>
      <c r="CK27" s="10">
        <f t="shared" si="27"/>
        <v>4</v>
      </c>
      <c r="CL27" s="10">
        <v>15</v>
      </c>
      <c r="CM27" s="10"/>
      <c r="CN27" s="10">
        <f t="shared" si="28"/>
        <v>15</v>
      </c>
      <c r="CO27" s="10">
        <v>11</v>
      </c>
      <c r="CP27" s="10"/>
      <c r="CQ27" s="10">
        <f t="shared" si="29"/>
        <v>11</v>
      </c>
      <c r="CR27" s="10">
        <v>13</v>
      </c>
      <c r="CS27" s="10"/>
      <c r="CT27" s="10">
        <f t="shared" si="30"/>
        <v>13</v>
      </c>
      <c r="CU27" s="10">
        <f t="shared" si="49"/>
        <v>277</v>
      </c>
      <c r="CV27" s="12">
        <f t="shared" si="31"/>
        <v>3.3690099732425198E-2</v>
      </c>
      <c r="CW27" s="10">
        <f t="shared" si="32"/>
        <v>214</v>
      </c>
      <c r="CX27" s="13">
        <f t="shared" si="33"/>
        <v>0.77256317689530685</v>
      </c>
      <c r="CY27" s="14">
        <v>1</v>
      </c>
      <c r="CZ27" s="15">
        <f t="shared" si="50"/>
        <v>1</v>
      </c>
      <c r="DA27" s="13">
        <f t="shared" si="34"/>
        <v>3.6101083032490976E-3</v>
      </c>
      <c r="DB27" s="19"/>
      <c r="DC27" s="19"/>
      <c r="DD27" s="19"/>
    </row>
    <row r="28" spans="1:108" x14ac:dyDescent="0.25">
      <c r="A28" s="10" t="s">
        <v>42</v>
      </c>
      <c r="B28" s="10">
        <v>4</v>
      </c>
      <c r="C28" s="10" t="s">
        <v>29</v>
      </c>
      <c r="D28" s="11">
        <v>0.42857142857142855</v>
      </c>
      <c r="E28" s="11">
        <v>0.5714285714285714</v>
      </c>
      <c r="F28" s="10">
        <v>2</v>
      </c>
      <c r="G28" s="10"/>
      <c r="H28" s="10">
        <f t="shared" si="0"/>
        <v>2</v>
      </c>
      <c r="I28" s="10">
        <v>2</v>
      </c>
      <c r="J28" s="10"/>
      <c r="K28" s="10">
        <f t="shared" si="1"/>
        <v>2</v>
      </c>
      <c r="L28" s="10">
        <v>2</v>
      </c>
      <c r="M28" s="10"/>
      <c r="N28" s="10">
        <f t="shared" si="35"/>
        <v>2</v>
      </c>
      <c r="O28" s="10">
        <v>0</v>
      </c>
      <c r="P28" s="10"/>
      <c r="Q28" s="10">
        <f t="shared" si="36"/>
        <v>0</v>
      </c>
      <c r="R28" s="10">
        <v>1</v>
      </c>
      <c r="S28" s="10"/>
      <c r="T28" s="10">
        <f t="shared" si="37"/>
        <v>1</v>
      </c>
      <c r="U28" s="10"/>
      <c r="V28" s="10"/>
      <c r="W28" s="10">
        <f t="shared" si="5"/>
        <v>0</v>
      </c>
      <c r="X28" s="10">
        <v>0</v>
      </c>
      <c r="Y28" s="10"/>
      <c r="Z28" s="10">
        <f t="shared" si="38"/>
        <v>0</v>
      </c>
      <c r="AA28" s="10">
        <v>2</v>
      </c>
      <c r="AB28" s="10"/>
      <c r="AC28" s="10">
        <f t="shared" si="39"/>
        <v>2</v>
      </c>
      <c r="AD28" s="10"/>
      <c r="AE28" s="10"/>
      <c r="AF28" s="10">
        <f t="shared" si="8"/>
        <v>0</v>
      </c>
      <c r="AG28" s="10">
        <v>0</v>
      </c>
      <c r="AH28" s="10"/>
      <c r="AI28" s="10">
        <f t="shared" si="40"/>
        <v>0</v>
      </c>
      <c r="AJ28" s="10">
        <v>1</v>
      </c>
      <c r="AK28" s="10"/>
      <c r="AL28" s="10">
        <f t="shared" si="41"/>
        <v>1</v>
      </c>
      <c r="AM28" s="10">
        <v>0</v>
      </c>
      <c r="AN28" s="10"/>
      <c r="AO28" s="10">
        <f t="shared" si="42"/>
        <v>0</v>
      </c>
      <c r="AP28" s="10"/>
      <c r="AQ28" s="10"/>
      <c r="AR28" s="10">
        <f t="shared" si="12"/>
        <v>0</v>
      </c>
      <c r="AS28" s="10">
        <v>1</v>
      </c>
      <c r="AT28" s="10"/>
      <c r="AU28" s="10">
        <f t="shared" si="13"/>
        <v>1</v>
      </c>
      <c r="AV28" s="10"/>
      <c r="AW28" s="10"/>
      <c r="AX28" s="10">
        <f t="shared" si="14"/>
        <v>0</v>
      </c>
      <c r="AY28" s="10"/>
      <c r="AZ28" s="10"/>
      <c r="BA28" s="10">
        <f t="shared" si="15"/>
        <v>0</v>
      </c>
      <c r="BB28" s="10">
        <v>3</v>
      </c>
      <c r="BC28" s="10"/>
      <c r="BD28" s="10">
        <f t="shared" si="43"/>
        <v>3</v>
      </c>
      <c r="BE28" s="10">
        <v>0</v>
      </c>
      <c r="BF28" s="10"/>
      <c r="BG28" s="10">
        <f t="shared" si="44"/>
        <v>0</v>
      </c>
      <c r="BH28" s="10">
        <v>0</v>
      </c>
      <c r="BI28" s="10"/>
      <c r="BJ28" s="10">
        <f t="shared" si="45"/>
        <v>0</v>
      </c>
      <c r="BK28" s="10">
        <v>1</v>
      </c>
      <c r="BL28" s="10"/>
      <c r="BM28" s="10">
        <f t="shared" si="19"/>
        <v>1</v>
      </c>
      <c r="BN28" s="10"/>
      <c r="BO28" s="10"/>
      <c r="BP28" s="10">
        <f t="shared" si="20"/>
        <v>0</v>
      </c>
      <c r="BQ28" s="10"/>
      <c r="BR28" s="10"/>
      <c r="BS28" s="10">
        <f t="shared" si="21"/>
        <v>0</v>
      </c>
      <c r="BT28" s="10"/>
      <c r="BU28" s="10"/>
      <c r="BV28" s="10">
        <f t="shared" si="22"/>
        <v>0</v>
      </c>
      <c r="BW28" s="10">
        <v>1</v>
      </c>
      <c r="BX28" s="10"/>
      <c r="BY28" s="10">
        <f t="shared" si="46"/>
        <v>1</v>
      </c>
      <c r="BZ28" s="10">
        <v>0</v>
      </c>
      <c r="CA28" s="10"/>
      <c r="CB28" s="10">
        <f t="shared" si="47"/>
        <v>0</v>
      </c>
      <c r="CC28" s="10">
        <v>0</v>
      </c>
      <c r="CD28" s="10"/>
      <c r="CE28" s="10">
        <f t="shared" si="48"/>
        <v>0</v>
      </c>
      <c r="CF28" s="10">
        <v>1</v>
      </c>
      <c r="CG28" s="10"/>
      <c r="CH28" s="10">
        <f t="shared" si="26"/>
        <v>1</v>
      </c>
      <c r="CI28" s="10">
        <v>1</v>
      </c>
      <c r="CJ28" s="10"/>
      <c r="CK28" s="10">
        <f t="shared" si="27"/>
        <v>1</v>
      </c>
      <c r="CL28" s="10">
        <v>1</v>
      </c>
      <c r="CM28" s="10"/>
      <c r="CN28" s="10">
        <f t="shared" si="28"/>
        <v>1</v>
      </c>
      <c r="CO28" s="10"/>
      <c r="CP28" s="10"/>
      <c r="CQ28" s="10">
        <f t="shared" si="29"/>
        <v>0</v>
      </c>
      <c r="CR28" s="10">
        <v>1</v>
      </c>
      <c r="CS28" s="10"/>
      <c r="CT28" s="10">
        <f t="shared" si="30"/>
        <v>1</v>
      </c>
      <c r="CU28" s="10">
        <f t="shared" si="49"/>
        <v>20</v>
      </c>
      <c r="CV28" s="12">
        <f t="shared" si="31"/>
        <v>2.4324981756263684E-3</v>
      </c>
      <c r="CW28" s="10">
        <f t="shared" si="32"/>
        <v>0</v>
      </c>
      <c r="CX28" s="13">
        <f t="shared" si="33"/>
        <v>0</v>
      </c>
      <c r="CY28" s="14"/>
      <c r="CZ28" s="15">
        <f t="shared" si="50"/>
        <v>0</v>
      </c>
      <c r="DA28" s="13">
        <f t="shared" si="34"/>
        <v>0</v>
      </c>
      <c r="DB28" s="19"/>
      <c r="DC28" s="19"/>
      <c r="DD28" s="19"/>
    </row>
    <row r="29" spans="1:108" x14ac:dyDescent="0.25">
      <c r="A29" s="18" t="s">
        <v>43</v>
      </c>
      <c r="B29" s="10">
        <v>3</v>
      </c>
      <c r="C29" s="10" t="s">
        <v>29</v>
      </c>
      <c r="D29" s="11">
        <v>1</v>
      </c>
      <c r="E29" s="11">
        <v>0</v>
      </c>
      <c r="F29" s="10">
        <v>1</v>
      </c>
      <c r="G29" s="10"/>
      <c r="H29" s="10">
        <f t="shared" si="0"/>
        <v>1</v>
      </c>
      <c r="I29" s="10">
        <v>3</v>
      </c>
      <c r="J29" s="10"/>
      <c r="K29" s="10">
        <f t="shared" si="1"/>
        <v>3</v>
      </c>
      <c r="L29" s="10">
        <v>1</v>
      </c>
      <c r="M29" s="10"/>
      <c r="N29" s="10">
        <f t="shared" si="35"/>
        <v>1</v>
      </c>
      <c r="O29" s="10">
        <v>0</v>
      </c>
      <c r="P29" s="10"/>
      <c r="Q29" s="10">
        <f t="shared" si="36"/>
        <v>0</v>
      </c>
      <c r="R29" s="10">
        <v>2</v>
      </c>
      <c r="S29" s="10"/>
      <c r="T29" s="10">
        <f t="shared" si="37"/>
        <v>2</v>
      </c>
      <c r="U29" s="10">
        <v>1</v>
      </c>
      <c r="V29" s="10"/>
      <c r="W29" s="10">
        <f t="shared" si="5"/>
        <v>1</v>
      </c>
      <c r="X29" s="10"/>
      <c r="Y29" s="10"/>
      <c r="Z29" s="10">
        <f t="shared" si="38"/>
        <v>0</v>
      </c>
      <c r="AA29" s="10"/>
      <c r="AB29" s="10"/>
      <c r="AC29" s="10">
        <f t="shared" si="39"/>
        <v>0</v>
      </c>
      <c r="AD29" s="10"/>
      <c r="AE29" s="10"/>
      <c r="AF29" s="10">
        <f t="shared" si="8"/>
        <v>0</v>
      </c>
      <c r="AG29" s="10">
        <v>2</v>
      </c>
      <c r="AH29" s="10"/>
      <c r="AI29" s="10">
        <f t="shared" si="40"/>
        <v>2</v>
      </c>
      <c r="AJ29" s="10">
        <v>0</v>
      </c>
      <c r="AK29" s="10"/>
      <c r="AL29" s="10">
        <f t="shared" si="41"/>
        <v>0</v>
      </c>
      <c r="AM29" s="10">
        <v>1</v>
      </c>
      <c r="AN29" s="10"/>
      <c r="AO29" s="10">
        <f t="shared" si="42"/>
        <v>1</v>
      </c>
      <c r="AP29" s="10">
        <v>1</v>
      </c>
      <c r="AQ29" s="10"/>
      <c r="AR29" s="10">
        <f t="shared" si="12"/>
        <v>1</v>
      </c>
      <c r="AS29" s="10"/>
      <c r="AT29" s="10"/>
      <c r="AU29" s="10">
        <f t="shared" si="13"/>
        <v>0</v>
      </c>
      <c r="AV29" s="10">
        <v>2</v>
      </c>
      <c r="AW29" s="10"/>
      <c r="AX29" s="10">
        <f t="shared" si="14"/>
        <v>2</v>
      </c>
      <c r="AY29" s="10"/>
      <c r="AZ29" s="10"/>
      <c r="BA29" s="10">
        <f t="shared" si="15"/>
        <v>0</v>
      </c>
      <c r="BB29" s="10">
        <v>0</v>
      </c>
      <c r="BC29" s="10"/>
      <c r="BD29" s="10">
        <f t="shared" si="43"/>
        <v>0</v>
      </c>
      <c r="BE29" s="10">
        <v>1</v>
      </c>
      <c r="BF29" s="10"/>
      <c r="BG29" s="10">
        <f t="shared" si="44"/>
        <v>1</v>
      </c>
      <c r="BH29" s="10">
        <v>3</v>
      </c>
      <c r="BI29" s="10"/>
      <c r="BJ29" s="10">
        <f t="shared" si="45"/>
        <v>3</v>
      </c>
      <c r="BK29" s="10"/>
      <c r="BL29" s="10"/>
      <c r="BM29" s="10">
        <f t="shared" si="19"/>
        <v>0</v>
      </c>
      <c r="BN29" s="10"/>
      <c r="BO29" s="10"/>
      <c r="BP29" s="10">
        <f t="shared" si="20"/>
        <v>0</v>
      </c>
      <c r="BQ29" s="10">
        <v>2</v>
      </c>
      <c r="BR29" s="10"/>
      <c r="BS29" s="10">
        <f t="shared" si="21"/>
        <v>2</v>
      </c>
      <c r="BT29" s="10"/>
      <c r="BU29" s="10"/>
      <c r="BV29" s="10">
        <f t="shared" si="22"/>
        <v>0</v>
      </c>
      <c r="BW29" s="10">
        <v>1</v>
      </c>
      <c r="BX29" s="10"/>
      <c r="BY29" s="10">
        <f t="shared" si="46"/>
        <v>1</v>
      </c>
      <c r="BZ29" s="10">
        <v>4</v>
      </c>
      <c r="CA29" s="10"/>
      <c r="CB29" s="10">
        <f t="shared" si="47"/>
        <v>4</v>
      </c>
      <c r="CC29" s="10">
        <v>6</v>
      </c>
      <c r="CD29" s="10"/>
      <c r="CE29" s="10">
        <f t="shared" si="48"/>
        <v>6</v>
      </c>
      <c r="CF29" s="10">
        <v>9</v>
      </c>
      <c r="CG29" s="10"/>
      <c r="CH29" s="10">
        <f t="shared" si="26"/>
        <v>9</v>
      </c>
      <c r="CI29" s="10">
        <v>6</v>
      </c>
      <c r="CJ29" s="10"/>
      <c r="CK29" s="10">
        <f t="shared" si="27"/>
        <v>6</v>
      </c>
      <c r="CL29" s="10">
        <v>4</v>
      </c>
      <c r="CM29" s="10"/>
      <c r="CN29" s="10">
        <f t="shared" si="28"/>
        <v>4</v>
      </c>
      <c r="CO29" s="10">
        <v>1</v>
      </c>
      <c r="CP29" s="10"/>
      <c r="CQ29" s="10">
        <f t="shared" si="29"/>
        <v>1</v>
      </c>
      <c r="CR29" s="10">
        <v>3</v>
      </c>
      <c r="CS29" s="10"/>
      <c r="CT29" s="10">
        <f t="shared" si="30"/>
        <v>3</v>
      </c>
      <c r="CU29" s="10">
        <f t="shared" si="49"/>
        <v>54</v>
      </c>
      <c r="CV29" s="12">
        <f t="shared" si="31"/>
        <v>6.5677450741911947E-3</v>
      </c>
      <c r="CW29" s="10">
        <f t="shared" si="32"/>
        <v>27</v>
      </c>
      <c r="CX29" s="13">
        <f t="shared" si="33"/>
        <v>0.5</v>
      </c>
      <c r="CY29" s="14">
        <v>3</v>
      </c>
      <c r="CZ29" s="15">
        <f t="shared" si="50"/>
        <v>3</v>
      </c>
      <c r="DA29" s="13">
        <f t="shared" si="34"/>
        <v>5.5555555555555552E-2</v>
      </c>
      <c r="DB29" s="19"/>
      <c r="DC29" s="19"/>
      <c r="DD29" s="19"/>
    </row>
    <row r="30" spans="1:108" x14ac:dyDescent="0.25">
      <c r="A30" s="9" t="s">
        <v>44</v>
      </c>
      <c r="B30" s="10"/>
      <c r="C30" s="10" t="s">
        <v>29</v>
      </c>
      <c r="D30" s="11">
        <v>0</v>
      </c>
      <c r="E30" s="11">
        <v>1</v>
      </c>
      <c r="F30" s="10"/>
      <c r="G30" s="10"/>
      <c r="H30" s="10">
        <f t="shared" si="0"/>
        <v>0</v>
      </c>
      <c r="I30" s="10"/>
      <c r="J30" s="10"/>
      <c r="K30" s="10">
        <f t="shared" si="1"/>
        <v>0</v>
      </c>
      <c r="L30" s="10"/>
      <c r="M30" s="10"/>
      <c r="N30" s="10">
        <f t="shared" si="35"/>
        <v>0</v>
      </c>
      <c r="O30" s="10"/>
      <c r="P30" s="10"/>
      <c r="Q30" s="10">
        <f t="shared" si="36"/>
        <v>0</v>
      </c>
      <c r="R30" s="10"/>
      <c r="S30" s="10"/>
      <c r="T30" s="10">
        <f t="shared" si="37"/>
        <v>0</v>
      </c>
      <c r="U30" s="10"/>
      <c r="V30" s="10"/>
      <c r="W30" s="10">
        <f t="shared" si="5"/>
        <v>0</v>
      </c>
      <c r="X30" s="10"/>
      <c r="Y30" s="10"/>
      <c r="Z30" s="10">
        <f t="shared" si="38"/>
        <v>0</v>
      </c>
      <c r="AA30" s="10"/>
      <c r="AB30" s="10"/>
      <c r="AC30" s="10">
        <f t="shared" si="39"/>
        <v>0</v>
      </c>
      <c r="AD30" s="10"/>
      <c r="AE30" s="10"/>
      <c r="AF30" s="10">
        <f t="shared" si="8"/>
        <v>0</v>
      </c>
      <c r="AG30" s="10">
        <v>1</v>
      </c>
      <c r="AH30" s="10"/>
      <c r="AI30" s="10">
        <f t="shared" si="40"/>
        <v>1</v>
      </c>
      <c r="AJ30" s="10">
        <v>0</v>
      </c>
      <c r="AK30" s="10"/>
      <c r="AL30" s="10">
        <f t="shared" si="41"/>
        <v>0</v>
      </c>
      <c r="AM30" s="10">
        <v>0</v>
      </c>
      <c r="AN30" s="10"/>
      <c r="AO30" s="10">
        <f t="shared" si="42"/>
        <v>0</v>
      </c>
      <c r="AP30" s="10"/>
      <c r="AQ30" s="10"/>
      <c r="AR30" s="10">
        <f t="shared" si="12"/>
        <v>0</v>
      </c>
      <c r="AS30" s="10"/>
      <c r="AT30" s="10"/>
      <c r="AU30" s="10">
        <f t="shared" si="13"/>
        <v>0</v>
      </c>
      <c r="AV30" s="10"/>
      <c r="AW30" s="10"/>
      <c r="AX30" s="10">
        <f t="shared" si="14"/>
        <v>0</v>
      </c>
      <c r="AY30" s="10"/>
      <c r="AZ30" s="10"/>
      <c r="BA30" s="10">
        <f t="shared" si="15"/>
        <v>0</v>
      </c>
      <c r="BB30" s="10"/>
      <c r="BC30" s="10"/>
      <c r="BD30" s="10">
        <f t="shared" si="43"/>
        <v>0</v>
      </c>
      <c r="BE30" s="10"/>
      <c r="BF30" s="10"/>
      <c r="BG30" s="10">
        <f t="shared" si="44"/>
        <v>0</v>
      </c>
      <c r="BH30" s="10"/>
      <c r="BI30" s="10"/>
      <c r="BJ30" s="10">
        <f t="shared" si="45"/>
        <v>0</v>
      </c>
      <c r="BK30" s="10"/>
      <c r="BL30" s="10"/>
      <c r="BM30" s="10">
        <f t="shared" si="19"/>
        <v>0</v>
      </c>
      <c r="BN30" s="10">
        <v>1</v>
      </c>
      <c r="BO30" s="10"/>
      <c r="BP30" s="10">
        <f t="shared" si="20"/>
        <v>1</v>
      </c>
      <c r="BQ30" s="10"/>
      <c r="BR30" s="10"/>
      <c r="BS30" s="10">
        <f t="shared" si="21"/>
        <v>0</v>
      </c>
      <c r="BT30" s="10"/>
      <c r="BU30" s="10"/>
      <c r="BV30" s="10">
        <f t="shared" si="22"/>
        <v>0</v>
      </c>
      <c r="BW30" s="10"/>
      <c r="BX30" s="10"/>
      <c r="BY30" s="10">
        <f t="shared" si="46"/>
        <v>0</v>
      </c>
      <c r="BZ30" s="10"/>
      <c r="CA30" s="10"/>
      <c r="CB30" s="10">
        <f t="shared" si="47"/>
        <v>0</v>
      </c>
      <c r="CC30" s="10"/>
      <c r="CD30" s="10"/>
      <c r="CE30" s="10">
        <f t="shared" si="48"/>
        <v>0</v>
      </c>
      <c r="CF30" s="10"/>
      <c r="CG30" s="10"/>
      <c r="CH30" s="10">
        <f t="shared" si="26"/>
        <v>0</v>
      </c>
      <c r="CI30" s="10"/>
      <c r="CJ30" s="10"/>
      <c r="CK30" s="10">
        <f t="shared" si="27"/>
        <v>0</v>
      </c>
      <c r="CL30" s="10">
        <v>2</v>
      </c>
      <c r="CM30" s="10"/>
      <c r="CN30" s="10">
        <f t="shared" si="28"/>
        <v>2</v>
      </c>
      <c r="CO30" s="10"/>
      <c r="CP30" s="10"/>
      <c r="CQ30" s="10">
        <f t="shared" si="29"/>
        <v>0</v>
      </c>
      <c r="CR30" s="10"/>
      <c r="CS30" s="10"/>
      <c r="CT30" s="10">
        <f t="shared" si="30"/>
        <v>0</v>
      </c>
      <c r="CU30" s="10">
        <f t="shared" si="49"/>
        <v>4</v>
      </c>
      <c r="CV30" s="12">
        <f t="shared" si="31"/>
        <v>4.8649963512527365E-4</v>
      </c>
      <c r="CW30" s="10">
        <f t="shared" si="32"/>
        <v>3</v>
      </c>
      <c r="CX30" s="13">
        <f t="shared" si="33"/>
        <v>0.75</v>
      </c>
      <c r="CY30" s="14"/>
      <c r="CZ30" s="15">
        <f t="shared" si="50"/>
        <v>0</v>
      </c>
      <c r="DA30" s="13">
        <f t="shared" si="34"/>
        <v>0</v>
      </c>
      <c r="DB30" s="19"/>
      <c r="DC30" s="19"/>
      <c r="DD30" s="19"/>
    </row>
    <row r="31" spans="1:108" x14ac:dyDescent="0.25">
      <c r="A31" s="9" t="s">
        <v>45</v>
      </c>
      <c r="B31" s="10">
        <v>2</v>
      </c>
      <c r="C31" s="10" t="s">
        <v>29</v>
      </c>
      <c r="D31" s="11">
        <v>1</v>
      </c>
      <c r="E31" s="11">
        <v>0</v>
      </c>
      <c r="F31" s="10">
        <v>13</v>
      </c>
      <c r="G31" s="10"/>
      <c r="H31" s="10">
        <f t="shared" si="0"/>
        <v>13</v>
      </c>
      <c r="I31" s="10">
        <v>8</v>
      </c>
      <c r="J31" s="10"/>
      <c r="K31" s="10">
        <f t="shared" si="1"/>
        <v>8</v>
      </c>
      <c r="L31" s="10">
        <v>7</v>
      </c>
      <c r="M31" s="10"/>
      <c r="N31" s="10">
        <f t="shared" si="35"/>
        <v>7</v>
      </c>
      <c r="O31" s="10">
        <v>6</v>
      </c>
      <c r="P31" s="10"/>
      <c r="Q31" s="10">
        <f t="shared" si="36"/>
        <v>6</v>
      </c>
      <c r="R31" s="10">
        <v>4</v>
      </c>
      <c r="S31" s="10"/>
      <c r="T31" s="10">
        <f t="shared" si="37"/>
        <v>4</v>
      </c>
      <c r="U31" s="10">
        <v>6</v>
      </c>
      <c r="V31" s="10"/>
      <c r="W31" s="10">
        <f t="shared" si="5"/>
        <v>6</v>
      </c>
      <c r="X31" s="10">
        <v>7</v>
      </c>
      <c r="Y31" s="10"/>
      <c r="Z31" s="10">
        <f t="shared" si="38"/>
        <v>7</v>
      </c>
      <c r="AA31" s="10">
        <v>3</v>
      </c>
      <c r="AB31" s="10"/>
      <c r="AC31" s="10">
        <f t="shared" si="39"/>
        <v>3</v>
      </c>
      <c r="AD31" s="10">
        <v>9</v>
      </c>
      <c r="AE31" s="10"/>
      <c r="AF31" s="10">
        <f t="shared" si="8"/>
        <v>9</v>
      </c>
      <c r="AG31" s="10">
        <v>10</v>
      </c>
      <c r="AH31" s="10"/>
      <c r="AI31" s="10">
        <f t="shared" si="40"/>
        <v>10</v>
      </c>
      <c r="AJ31" s="10">
        <v>5</v>
      </c>
      <c r="AK31" s="10"/>
      <c r="AL31" s="10">
        <f t="shared" si="41"/>
        <v>5</v>
      </c>
      <c r="AM31" s="10">
        <v>6</v>
      </c>
      <c r="AN31" s="10"/>
      <c r="AO31" s="10">
        <f t="shared" si="42"/>
        <v>6</v>
      </c>
      <c r="AP31" s="10">
        <v>7</v>
      </c>
      <c r="AQ31" s="10"/>
      <c r="AR31" s="10">
        <f t="shared" si="12"/>
        <v>7</v>
      </c>
      <c r="AS31" s="10">
        <v>6</v>
      </c>
      <c r="AT31" s="10"/>
      <c r="AU31" s="10">
        <f t="shared" si="13"/>
        <v>6</v>
      </c>
      <c r="AV31" s="10">
        <v>5</v>
      </c>
      <c r="AW31" s="10"/>
      <c r="AX31" s="10">
        <f t="shared" si="14"/>
        <v>5</v>
      </c>
      <c r="AY31" s="10">
        <v>9</v>
      </c>
      <c r="AZ31" s="10"/>
      <c r="BA31" s="10">
        <f t="shared" si="15"/>
        <v>9</v>
      </c>
      <c r="BB31" s="10">
        <v>7</v>
      </c>
      <c r="BC31" s="10"/>
      <c r="BD31" s="10">
        <f t="shared" si="43"/>
        <v>7</v>
      </c>
      <c r="BE31" s="10">
        <v>5</v>
      </c>
      <c r="BF31" s="10"/>
      <c r="BG31" s="10">
        <f t="shared" si="44"/>
        <v>5</v>
      </c>
      <c r="BH31" s="10">
        <v>17</v>
      </c>
      <c r="BI31" s="10"/>
      <c r="BJ31" s="10">
        <f t="shared" si="45"/>
        <v>17</v>
      </c>
      <c r="BK31" s="10">
        <v>5</v>
      </c>
      <c r="BL31" s="10"/>
      <c r="BM31" s="10">
        <f t="shared" si="19"/>
        <v>5</v>
      </c>
      <c r="BN31" s="10">
        <v>5</v>
      </c>
      <c r="BO31" s="10"/>
      <c r="BP31" s="10">
        <f t="shared" si="20"/>
        <v>5</v>
      </c>
      <c r="BQ31" s="10">
        <v>10</v>
      </c>
      <c r="BR31" s="10"/>
      <c r="BS31" s="10">
        <f t="shared" si="21"/>
        <v>10</v>
      </c>
      <c r="BT31" s="10">
        <v>4</v>
      </c>
      <c r="BU31" s="10"/>
      <c r="BV31" s="10">
        <f t="shared" si="22"/>
        <v>4</v>
      </c>
      <c r="BW31" s="10">
        <v>12</v>
      </c>
      <c r="BX31" s="10"/>
      <c r="BY31" s="10">
        <f t="shared" si="46"/>
        <v>12</v>
      </c>
      <c r="BZ31" s="10">
        <v>10</v>
      </c>
      <c r="CA31" s="10"/>
      <c r="CB31" s="10">
        <f t="shared" si="47"/>
        <v>10</v>
      </c>
      <c r="CC31" s="10">
        <v>7</v>
      </c>
      <c r="CD31" s="10"/>
      <c r="CE31" s="10">
        <f t="shared" si="48"/>
        <v>7</v>
      </c>
      <c r="CF31" s="10">
        <v>6</v>
      </c>
      <c r="CG31" s="10"/>
      <c r="CH31" s="10">
        <f t="shared" si="26"/>
        <v>6</v>
      </c>
      <c r="CI31" s="10">
        <v>2</v>
      </c>
      <c r="CJ31" s="10"/>
      <c r="CK31" s="10">
        <f t="shared" si="27"/>
        <v>2</v>
      </c>
      <c r="CL31" s="10">
        <v>6</v>
      </c>
      <c r="CM31" s="10"/>
      <c r="CN31" s="10">
        <f t="shared" si="28"/>
        <v>6</v>
      </c>
      <c r="CO31" s="10">
        <v>5</v>
      </c>
      <c r="CP31" s="10"/>
      <c r="CQ31" s="10">
        <f t="shared" si="29"/>
        <v>5</v>
      </c>
      <c r="CR31" s="10">
        <v>3</v>
      </c>
      <c r="CS31" s="10"/>
      <c r="CT31" s="10">
        <f t="shared" si="30"/>
        <v>3</v>
      </c>
      <c r="CU31" s="10">
        <f t="shared" si="49"/>
        <v>215</v>
      </c>
      <c r="CV31" s="12">
        <f t="shared" si="31"/>
        <v>2.614935538798346E-2</v>
      </c>
      <c r="CW31" s="10">
        <f t="shared" si="32"/>
        <v>167</v>
      </c>
      <c r="CX31" s="13">
        <f t="shared" si="33"/>
        <v>0.77674418604651163</v>
      </c>
      <c r="CY31" s="14">
        <v>5</v>
      </c>
      <c r="CZ31" s="15">
        <f t="shared" si="50"/>
        <v>5</v>
      </c>
      <c r="DA31" s="13">
        <f t="shared" si="34"/>
        <v>2.3255813953488372E-2</v>
      </c>
      <c r="DB31" s="19"/>
      <c r="DC31" s="19"/>
      <c r="DD31" s="19"/>
    </row>
    <row r="32" spans="1:108" x14ac:dyDescent="0.25">
      <c r="A32" s="16" t="s">
        <v>99</v>
      </c>
      <c r="B32" s="10"/>
      <c r="C32" s="10" t="s">
        <v>100</v>
      </c>
      <c r="D32" s="11"/>
      <c r="E32" s="1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>
        <v>1</v>
      </c>
      <c r="AZ32" s="10"/>
      <c r="BA32" s="10">
        <f t="shared" ref="BA32" si="51">AY32+AZ32</f>
        <v>1</v>
      </c>
      <c r="BB32" s="10">
        <v>0</v>
      </c>
      <c r="BC32" s="10"/>
      <c r="BD32" s="10">
        <f t="shared" si="43"/>
        <v>0</v>
      </c>
      <c r="BE32" s="10">
        <v>0</v>
      </c>
      <c r="BF32" s="10"/>
      <c r="BG32" s="10">
        <f t="shared" si="44"/>
        <v>0</v>
      </c>
      <c r="BH32" s="10">
        <v>0</v>
      </c>
      <c r="BI32" s="10"/>
      <c r="BJ32" s="10">
        <f t="shared" si="45"/>
        <v>0</v>
      </c>
      <c r="BK32" s="10"/>
      <c r="BL32" s="10"/>
      <c r="BM32" s="10">
        <f t="shared" si="19"/>
        <v>0</v>
      </c>
      <c r="BN32" s="10">
        <v>4</v>
      </c>
      <c r="BO32" s="10"/>
      <c r="BP32" s="10">
        <f t="shared" si="20"/>
        <v>4</v>
      </c>
      <c r="BQ32" s="10">
        <v>1</v>
      </c>
      <c r="BR32" s="10"/>
      <c r="BS32" s="10">
        <f t="shared" si="21"/>
        <v>1</v>
      </c>
      <c r="BT32" s="10"/>
      <c r="BU32" s="10"/>
      <c r="BV32" s="10">
        <f t="shared" si="22"/>
        <v>0</v>
      </c>
      <c r="BW32" s="10">
        <v>1</v>
      </c>
      <c r="BX32" s="10"/>
      <c r="BY32" s="10">
        <f t="shared" si="46"/>
        <v>1</v>
      </c>
      <c r="BZ32" s="10">
        <v>1</v>
      </c>
      <c r="CA32" s="10"/>
      <c r="CB32" s="10">
        <f t="shared" si="47"/>
        <v>1</v>
      </c>
      <c r="CC32" s="10">
        <v>0</v>
      </c>
      <c r="CD32" s="10"/>
      <c r="CE32" s="10">
        <f t="shared" si="48"/>
        <v>0</v>
      </c>
      <c r="CF32" s="10"/>
      <c r="CG32" s="10"/>
      <c r="CH32" s="10">
        <f t="shared" si="26"/>
        <v>0</v>
      </c>
      <c r="CI32" s="10">
        <v>1</v>
      </c>
      <c r="CJ32" s="10"/>
      <c r="CK32" s="10">
        <f t="shared" si="27"/>
        <v>1</v>
      </c>
      <c r="CL32" s="10"/>
      <c r="CM32" s="10"/>
      <c r="CN32" s="10">
        <f t="shared" si="28"/>
        <v>0</v>
      </c>
      <c r="CO32" s="10">
        <v>1</v>
      </c>
      <c r="CP32" s="10"/>
      <c r="CQ32" s="10">
        <f t="shared" si="29"/>
        <v>1</v>
      </c>
      <c r="CR32" s="10">
        <v>2</v>
      </c>
      <c r="CS32" s="10"/>
      <c r="CT32" s="10">
        <f t="shared" si="30"/>
        <v>2</v>
      </c>
      <c r="CU32" s="10">
        <f t="shared" si="49"/>
        <v>12</v>
      </c>
      <c r="CV32" s="12">
        <f t="shared" si="31"/>
        <v>1.459498905375821E-3</v>
      </c>
      <c r="CW32" s="10">
        <f>CU70</f>
        <v>12</v>
      </c>
      <c r="CX32" s="13">
        <f t="shared" ref="CX32" si="52">CW32/CU32</f>
        <v>1</v>
      </c>
      <c r="CY32" s="14"/>
      <c r="CZ32" s="15"/>
      <c r="DA32" s="13"/>
      <c r="DB32" s="19"/>
      <c r="DC32" s="19"/>
      <c r="DD32" s="19"/>
    </row>
    <row r="33" spans="1:108" x14ac:dyDescent="0.25">
      <c r="A33" s="16" t="s">
        <v>46</v>
      </c>
      <c r="B33" s="10">
        <v>0</v>
      </c>
      <c r="C33" s="10" t="s">
        <v>29</v>
      </c>
      <c r="D33" s="11"/>
      <c r="E33" s="11"/>
      <c r="F33" s="10"/>
      <c r="G33" s="10"/>
      <c r="H33" s="10">
        <f t="shared" si="0"/>
        <v>0</v>
      </c>
      <c r="I33" s="10">
        <v>1</v>
      </c>
      <c r="J33" s="10"/>
      <c r="K33" s="10">
        <f t="shared" si="1"/>
        <v>1</v>
      </c>
      <c r="L33" s="10">
        <v>0</v>
      </c>
      <c r="M33" s="10"/>
      <c r="N33" s="10">
        <f t="shared" si="35"/>
        <v>0</v>
      </c>
      <c r="O33" s="10">
        <v>1</v>
      </c>
      <c r="P33" s="10"/>
      <c r="Q33" s="10">
        <f t="shared" si="36"/>
        <v>1</v>
      </c>
      <c r="R33" s="10">
        <v>0</v>
      </c>
      <c r="S33" s="10"/>
      <c r="T33" s="10">
        <f t="shared" si="37"/>
        <v>0</v>
      </c>
      <c r="U33" s="10"/>
      <c r="V33" s="10"/>
      <c r="W33" s="10">
        <f t="shared" si="5"/>
        <v>0</v>
      </c>
      <c r="X33" s="10">
        <v>0</v>
      </c>
      <c r="Y33" s="10"/>
      <c r="Z33" s="10">
        <f t="shared" si="38"/>
        <v>0</v>
      </c>
      <c r="AA33" s="10">
        <v>1</v>
      </c>
      <c r="AB33" s="10"/>
      <c r="AC33" s="10">
        <f t="shared" si="39"/>
        <v>1</v>
      </c>
      <c r="AD33" s="10">
        <v>1</v>
      </c>
      <c r="AE33" s="10"/>
      <c r="AF33" s="10">
        <f t="shared" si="8"/>
        <v>1</v>
      </c>
      <c r="AG33" s="10">
        <v>0</v>
      </c>
      <c r="AH33" s="10"/>
      <c r="AI33" s="10">
        <f t="shared" si="40"/>
        <v>0</v>
      </c>
      <c r="AJ33" s="10">
        <v>1</v>
      </c>
      <c r="AK33" s="10"/>
      <c r="AL33" s="10">
        <f t="shared" si="41"/>
        <v>1</v>
      </c>
      <c r="AM33" s="10">
        <v>0</v>
      </c>
      <c r="AN33" s="10"/>
      <c r="AO33" s="10">
        <f t="shared" si="42"/>
        <v>0</v>
      </c>
      <c r="AP33" s="10"/>
      <c r="AQ33" s="10"/>
      <c r="AR33" s="10">
        <f t="shared" si="12"/>
        <v>0</v>
      </c>
      <c r="AS33" s="10"/>
      <c r="AT33" s="10"/>
      <c r="AU33" s="10">
        <f t="shared" si="13"/>
        <v>0</v>
      </c>
      <c r="AV33" s="10"/>
      <c r="AW33" s="10"/>
      <c r="AX33" s="10">
        <f t="shared" si="14"/>
        <v>0</v>
      </c>
      <c r="AY33" s="10">
        <v>1</v>
      </c>
      <c r="AZ33" s="10"/>
      <c r="BA33" s="10">
        <f t="shared" si="15"/>
        <v>1</v>
      </c>
      <c r="BB33" s="10">
        <v>1</v>
      </c>
      <c r="BC33" s="10"/>
      <c r="BD33" s="10">
        <f t="shared" si="43"/>
        <v>1</v>
      </c>
      <c r="BE33" s="10">
        <v>0</v>
      </c>
      <c r="BF33" s="10"/>
      <c r="BG33" s="10">
        <f t="shared" si="44"/>
        <v>0</v>
      </c>
      <c r="BH33" s="10">
        <v>0</v>
      </c>
      <c r="BI33" s="10"/>
      <c r="BJ33" s="10">
        <f t="shared" si="45"/>
        <v>0</v>
      </c>
      <c r="BK33" s="10"/>
      <c r="BL33" s="10"/>
      <c r="BM33" s="10">
        <f t="shared" si="19"/>
        <v>0</v>
      </c>
      <c r="BN33" s="10">
        <v>1</v>
      </c>
      <c r="BO33" s="10"/>
      <c r="BP33" s="10">
        <f t="shared" si="20"/>
        <v>1</v>
      </c>
      <c r="BQ33" s="10">
        <v>2</v>
      </c>
      <c r="BR33" s="10"/>
      <c r="BS33" s="10">
        <f t="shared" si="21"/>
        <v>2</v>
      </c>
      <c r="BT33" s="10"/>
      <c r="BU33" s="10"/>
      <c r="BV33" s="10">
        <f t="shared" si="22"/>
        <v>0</v>
      </c>
      <c r="BW33" s="10"/>
      <c r="BX33" s="10"/>
      <c r="BY33" s="10">
        <f t="shared" si="46"/>
        <v>0</v>
      </c>
      <c r="BZ33" s="10"/>
      <c r="CA33" s="10"/>
      <c r="CB33" s="10">
        <f t="shared" si="47"/>
        <v>0</v>
      </c>
      <c r="CC33" s="10"/>
      <c r="CD33" s="10"/>
      <c r="CE33" s="10">
        <f t="shared" si="48"/>
        <v>0</v>
      </c>
      <c r="CF33" s="10">
        <v>1</v>
      </c>
      <c r="CG33" s="10"/>
      <c r="CH33" s="10">
        <f t="shared" si="26"/>
        <v>1</v>
      </c>
      <c r="CI33" s="10"/>
      <c r="CJ33" s="10"/>
      <c r="CK33" s="10">
        <f t="shared" si="27"/>
        <v>0</v>
      </c>
      <c r="CL33" s="10">
        <v>1</v>
      </c>
      <c r="CM33" s="10"/>
      <c r="CN33" s="10">
        <f t="shared" si="28"/>
        <v>1</v>
      </c>
      <c r="CO33" s="10"/>
      <c r="CP33" s="10"/>
      <c r="CQ33" s="10">
        <f t="shared" si="29"/>
        <v>0</v>
      </c>
      <c r="CR33" s="10"/>
      <c r="CS33" s="10"/>
      <c r="CT33" s="10">
        <f t="shared" si="30"/>
        <v>0</v>
      </c>
      <c r="CU33" s="10">
        <f t="shared" si="49"/>
        <v>12</v>
      </c>
      <c r="CV33" s="12">
        <f t="shared" si="31"/>
        <v>1.459498905375821E-3</v>
      </c>
      <c r="CW33" s="10">
        <f t="shared" ref="CW33:CW34" si="53">CU70</f>
        <v>12</v>
      </c>
      <c r="CX33" s="13">
        <f t="shared" si="33"/>
        <v>1</v>
      </c>
      <c r="CY33" s="14"/>
      <c r="CZ33" s="15">
        <f t="shared" si="50"/>
        <v>0</v>
      </c>
      <c r="DA33" s="13"/>
      <c r="DB33" s="19"/>
      <c r="DC33" s="19"/>
      <c r="DD33" s="19"/>
    </row>
    <row r="34" spans="1:108" x14ac:dyDescent="0.25">
      <c r="A34" s="10" t="s">
        <v>47</v>
      </c>
      <c r="B34" s="10">
        <v>10</v>
      </c>
      <c r="C34" s="10" t="s">
        <v>29</v>
      </c>
      <c r="D34" s="11">
        <v>0.75</v>
      </c>
      <c r="E34" s="11">
        <v>0.25</v>
      </c>
      <c r="F34" s="10">
        <v>4</v>
      </c>
      <c r="G34" s="10"/>
      <c r="H34" s="10">
        <f>F34+G34</f>
        <v>4</v>
      </c>
      <c r="I34" s="10">
        <v>1</v>
      </c>
      <c r="J34" s="10"/>
      <c r="K34" s="10">
        <f t="shared" si="1"/>
        <v>1</v>
      </c>
      <c r="L34" s="10">
        <v>1</v>
      </c>
      <c r="M34" s="10"/>
      <c r="N34" s="10">
        <f t="shared" si="35"/>
        <v>1</v>
      </c>
      <c r="O34" s="10">
        <v>1</v>
      </c>
      <c r="P34" s="10"/>
      <c r="Q34" s="10">
        <f t="shared" si="36"/>
        <v>1</v>
      </c>
      <c r="R34" s="10">
        <v>1</v>
      </c>
      <c r="S34" s="10"/>
      <c r="T34" s="10">
        <f t="shared" si="37"/>
        <v>1</v>
      </c>
      <c r="U34" s="10">
        <v>6</v>
      </c>
      <c r="V34" s="10"/>
      <c r="W34" s="10">
        <f t="shared" si="5"/>
        <v>6</v>
      </c>
      <c r="X34" s="10">
        <v>4</v>
      </c>
      <c r="Y34" s="10"/>
      <c r="Z34" s="10">
        <f t="shared" si="38"/>
        <v>4</v>
      </c>
      <c r="AA34" s="10">
        <v>4</v>
      </c>
      <c r="AB34" s="10"/>
      <c r="AC34" s="10">
        <f t="shared" si="39"/>
        <v>4</v>
      </c>
      <c r="AD34" s="10">
        <v>7</v>
      </c>
      <c r="AE34" s="10"/>
      <c r="AF34" s="10">
        <f t="shared" si="8"/>
        <v>7</v>
      </c>
      <c r="AG34" s="10">
        <v>6</v>
      </c>
      <c r="AH34" s="10"/>
      <c r="AI34" s="10">
        <f t="shared" si="40"/>
        <v>6</v>
      </c>
      <c r="AJ34" s="10">
        <v>3</v>
      </c>
      <c r="AK34" s="10"/>
      <c r="AL34" s="10">
        <f t="shared" si="41"/>
        <v>3</v>
      </c>
      <c r="AM34" s="10">
        <v>1</v>
      </c>
      <c r="AN34" s="10"/>
      <c r="AO34" s="10">
        <f t="shared" si="42"/>
        <v>1</v>
      </c>
      <c r="AP34" s="10">
        <v>5</v>
      </c>
      <c r="AQ34" s="10"/>
      <c r="AR34" s="10">
        <f t="shared" si="12"/>
        <v>5</v>
      </c>
      <c r="AS34" s="10">
        <v>7</v>
      </c>
      <c r="AT34" s="10"/>
      <c r="AU34" s="10">
        <f t="shared" si="13"/>
        <v>7</v>
      </c>
      <c r="AV34" s="10">
        <v>2</v>
      </c>
      <c r="AW34" s="10"/>
      <c r="AX34" s="10">
        <f t="shared" si="14"/>
        <v>2</v>
      </c>
      <c r="AY34" s="10">
        <v>4</v>
      </c>
      <c r="AZ34" s="10"/>
      <c r="BA34" s="10">
        <f t="shared" si="15"/>
        <v>4</v>
      </c>
      <c r="BB34" s="10">
        <v>3</v>
      </c>
      <c r="BC34" s="10"/>
      <c r="BD34" s="10">
        <f t="shared" si="43"/>
        <v>3</v>
      </c>
      <c r="BE34" s="10">
        <v>7</v>
      </c>
      <c r="BF34" s="10"/>
      <c r="BG34" s="10">
        <f t="shared" si="44"/>
        <v>7</v>
      </c>
      <c r="BH34" s="10">
        <v>5</v>
      </c>
      <c r="BI34" s="10"/>
      <c r="BJ34" s="10">
        <f t="shared" si="45"/>
        <v>5</v>
      </c>
      <c r="BK34" s="10">
        <v>5</v>
      </c>
      <c r="BL34" s="10"/>
      <c r="BM34" s="10">
        <f t="shared" si="19"/>
        <v>5</v>
      </c>
      <c r="BN34" s="10">
        <v>4</v>
      </c>
      <c r="BO34" s="10"/>
      <c r="BP34" s="10">
        <f t="shared" si="20"/>
        <v>4</v>
      </c>
      <c r="BQ34" s="10">
        <v>8</v>
      </c>
      <c r="BR34" s="10"/>
      <c r="BS34" s="10">
        <f t="shared" si="21"/>
        <v>8</v>
      </c>
      <c r="BT34" s="10">
        <v>5</v>
      </c>
      <c r="BU34" s="10"/>
      <c r="BV34" s="10">
        <f t="shared" si="22"/>
        <v>5</v>
      </c>
      <c r="BW34" s="10">
        <v>3</v>
      </c>
      <c r="BX34" s="10"/>
      <c r="BY34" s="10">
        <f t="shared" si="46"/>
        <v>3</v>
      </c>
      <c r="BZ34" s="10">
        <v>13</v>
      </c>
      <c r="CA34" s="10"/>
      <c r="CB34" s="10">
        <f t="shared" si="47"/>
        <v>13</v>
      </c>
      <c r="CC34" s="10">
        <v>8</v>
      </c>
      <c r="CD34" s="10"/>
      <c r="CE34" s="10">
        <f t="shared" si="48"/>
        <v>8</v>
      </c>
      <c r="CF34" s="10">
        <v>5</v>
      </c>
      <c r="CG34" s="10"/>
      <c r="CH34" s="10">
        <f t="shared" si="26"/>
        <v>5</v>
      </c>
      <c r="CI34" s="10">
        <v>1</v>
      </c>
      <c r="CJ34" s="10"/>
      <c r="CK34" s="10">
        <f t="shared" si="27"/>
        <v>1</v>
      </c>
      <c r="CL34" s="10">
        <v>7</v>
      </c>
      <c r="CM34" s="10"/>
      <c r="CN34" s="10">
        <f t="shared" si="28"/>
        <v>7</v>
      </c>
      <c r="CO34" s="10">
        <v>7</v>
      </c>
      <c r="CP34" s="10"/>
      <c r="CQ34" s="10">
        <f t="shared" si="29"/>
        <v>7</v>
      </c>
      <c r="CR34" s="10">
        <v>9</v>
      </c>
      <c r="CS34" s="10"/>
      <c r="CT34" s="10">
        <f t="shared" si="30"/>
        <v>9</v>
      </c>
      <c r="CU34" s="10">
        <f t="shared" si="49"/>
        <v>147</v>
      </c>
      <c r="CV34" s="12">
        <f t="shared" si="31"/>
        <v>1.7878861590853806E-2</v>
      </c>
      <c r="CW34" s="10">
        <f t="shared" si="53"/>
        <v>89</v>
      </c>
      <c r="CX34" s="13">
        <f t="shared" si="33"/>
        <v>0.60544217687074831</v>
      </c>
      <c r="CY34" s="14"/>
      <c r="CZ34" s="15">
        <f t="shared" si="50"/>
        <v>0</v>
      </c>
      <c r="DA34" s="13">
        <f>CZ34/CU34</f>
        <v>0</v>
      </c>
      <c r="DB34" s="19"/>
      <c r="DC34" s="19"/>
      <c r="DD34" s="19"/>
    </row>
    <row r="35" spans="1:108" x14ac:dyDescent="0.25">
      <c r="A35" s="3" t="s">
        <v>7</v>
      </c>
      <c r="B35" s="3">
        <f>SUM(B3:B34)</f>
        <v>259</v>
      </c>
      <c r="C35" s="3"/>
      <c r="D35" s="3"/>
      <c r="E35" s="3"/>
      <c r="F35" s="3">
        <f t="shared" ref="F35:AK35" si="54">SUM(F3:F34)</f>
        <v>168</v>
      </c>
      <c r="G35" s="3">
        <f t="shared" si="54"/>
        <v>37</v>
      </c>
      <c r="H35" s="3">
        <f t="shared" si="54"/>
        <v>205</v>
      </c>
      <c r="I35" s="3">
        <f t="shared" si="54"/>
        <v>147</v>
      </c>
      <c r="J35" s="3">
        <f t="shared" si="54"/>
        <v>0</v>
      </c>
      <c r="K35" s="3">
        <f t="shared" si="54"/>
        <v>147</v>
      </c>
      <c r="L35" s="3">
        <f t="shared" si="54"/>
        <v>134</v>
      </c>
      <c r="M35" s="3">
        <f t="shared" si="54"/>
        <v>14</v>
      </c>
      <c r="N35" s="3">
        <f t="shared" si="54"/>
        <v>148</v>
      </c>
      <c r="O35" s="3">
        <f t="shared" si="54"/>
        <v>166</v>
      </c>
      <c r="P35" s="3">
        <f t="shared" si="54"/>
        <v>21</v>
      </c>
      <c r="Q35" s="3">
        <f t="shared" si="54"/>
        <v>187</v>
      </c>
      <c r="R35" s="3">
        <f t="shared" si="54"/>
        <v>203</v>
      </c>
      <c r="S35" s="3">
        <f t="shared" si="54"/>
        <v>40</v>
      </c>
      <c r="T35" s="3">
        <f t="shared" si="54"/>
        <v>243</v>
      </c>
      <c r="U35" s="3">
        <f t="shared" si="54"/>
        <v>160</v>
      </c>
      <c r="V35" s="3">
        <f t="shared" si="54"/>
        <v>31</v>
      </c>
      <c r="W35" s="3">
        <f t="shared" si="54"/>
        <v>191</v>
      </c>
      <c r="X35" s="3">
        <f t="shared" si="54"/>
        <v>163</v>
      </c>
      <c r="Y35" s="3">
        <f t="shared" si="54"/>
        <v>0</v>
      </c>
      <c r="Z35" s="3">
        <f t="shared" si="54"/>
        <v>163</v>
      </c>
      <c r="AA35" s="3">
        <f t="shared" si="54"/>
        <v>186</v>
      </c>
      <c r="AB35" s="3">
        <f t="shared" si="54"/>
        <v>0</v>
      </c>
      <c r="AC35" s="3">
        <f t="shared" si="54"/>
        <v>186</v>
      </c>
      <c r="AD35" s="3">
        <f t="shared" si="54"/>
        <v>172</v>
      </c>
      <c r="AE35" s="3">
        <f t="shared" si="54"/>
        <v>51</v>
      </c>
      <c r="AF35" s="3">
        <f t="shared" si="54"/>
        <v>223</v>
      </c>
      <c r="AG35" s="3">
        <f t="shared" si="54"/>
        <v>155</v>
      </c>
      <c r="AH35" s="3">
        <f t="shared" si="54"/>
        <v>40</v>
      </c>
      <c r="AI35" s="3">
        <f t="shared" si="54"/>
        <v>195</v>
      </c>
      <c r="AJ35" s="3">
        <f t="shared" si="54"/>
        <v>182</v>
      </c>
      <c r="AK35" s="3">
        <f t="shared" si="54"/>
        <v>33</v>
      </c>
      <c r="AL35" s="3">
        <f t="shared" ref="AL35:CW35" si="55">SUM(AL3:AL34)</f>
        <v>215</v>
      </c>
      <c r="AM35" s="3">
        <f t="shared" si="55"/>
        <v>223</v>
      </c>
      <c r="AN35" s="3">
        <f t="shared" si="55"/>
        <v>39</v>
      </c>
      <c r="AO35" s="3">
        <f t="shared" si="55"/>
        <v>262</v>
      </c>
      <c r="AP35" s="3">
        <f t="shared" si="55"/>
        <v>148</v>
      </c>
      <c r="AQ35" s="3">
        <f t="shared" si="55"/>
        <v>40</v>
      </c>
      <c r="AR35" s="3">
        <f t="shared" si="55"/>
        <v>188</v>
      </c>
      <c r="AS35" s="3">
        <f t="shared" si="55"/>
        <v>120</v>
      </c>
      <c r="AT35" s="3">
        <f t="shared" si="55"/>
        <v>30</v>
      </c>
      <c r="AU35" s="3">
        <f t="shared" si="55"/>
        <v>150</v>
      </c>
      <c r="AV35" s="3">
        <f t="shared" si="55"/>
        <v>167</v>
      </c>
      <c r="AW35" s="3">
        <f t="shared" si="55"/>
        <v>39</v>
      </c>
      <c r="AX35" s="3">
        <f t="shared" si="55"/>
        <v>206</v>
      </c>
      <c r="AY35" s="3">
        <f t="shared" si="55"/>
        <v>178</v>
      </c>
      <c r="AZ35" s="3">
        <f t="shared" si="55"/>
        <v>34</v>
      </c>
      <c r="BA35" s="3">
        <f t="shared" si="55"/>
        <v>212</v>
      </c>
      <c r="BB35" s="3">
        <f t="shared" ref="BB35" si="56">SUM(BB3:BB34)</f>
        <v>222</v>
      </c>
      <c r="BC35" s="3">
        <f t="shared" ref="BC35" si="57">SUM(BC3:BC34)</f>
        <v>31</v>
      </c>
      <c r="BD35" s="3">
        <f t="shared" ref="BD35" si="58">SUM(BD3:BD34)</f>
        <v>253</v>
      </c>
      <c r="BE35" s="3">
        <f t="shared" ref="BE35" si="59">SUM(BE3:BE34)</f>
        <v>232</v>
      </c>
      <c r="BF35" s="3">
        <f t="shared" ref="BF35" si="60">SUM(BF3:BF34)</f>
        <v>42</v>
      </c>
      <c r="BG35" s="3">
        <f t="shared" ref="BG35" si="61">SUM(BG3:BG34)</f>
        <v>274</v>
      </c>
      <c r="BH35" s="3">
        <f t="shared" ref="BH35" si="62">SUM(BH3:BH34)</f>
        <v>315</v>
      </c>
      <c r="BI35" s="3">
        <f t="shared" ref="BI35" si="63">SUM(BI3:BI34)</f>
        <v>48</v>
      </c>
      <c r="BJ35" s="3">
        <f t="shared" ref="BJ35:CS35" si="64">SUM(BJ3:BJ34)</f>
        <v>363</v>
      </c>
      <c r="BK35" s="3">
        <f t="shared" si="64"/>
        <v>274</v>
      </c>
      <c r="BL35" s="3">
        <f t="shared" si="64"/>
        <v>49</v>
      </c>
      <c r="BM35" s="3">
        <f t="shared" si="64"/>
        <v>323</v>
      </c>
      <c r="BN35" s="3">
        <f t="shared" si="64"/>
        <v>337</v>
      </c>
      <c r="BO35" s="3">
        <f t="shared" si="64"/>
        <v>64</v>
      </c>
      <c r="BP35" s="3">
        <f t="shared" ref="BP35:BS35" si="65">SUM(BP3:BP34)</f>
        <v>401</v>
      </c>
      <c r="BQ35" s="3">
        <f t="shared" si="64"/>
        <v>307</v>
      </c>
      <c r="BR35" s="3">
        <f t="shared" si="64"/>
        <v>48</v>
      </c>
      <c r="BS35" s="3">
        <f t="shared" si="65"/>
        <v>355</v>
      </c>
      <c r="BT35" s="3">
        <f t="shared" si="64"/>
        <v>257</v>
      </c>
      <c r="BU35" s="3">
        <f t="shared" si="64"/>
        <v>58</v>
      </c>
      <c r="BV35" s="3">
        <f t="shared" ref="BV35:CE35" si="66">SUM(BV3:BV34)</f>
        <v>315</v>
      </c>
      <c r="BW35" s="3">
        <f t="shared" si="64"/>
        <v>231</v>
      </c>
      <c r="BX35" s="3">
        <f t="shared" si="64"/>
        <v>38</v>
      </c>
      <c r="BY35" s="3">
        <f t="shared" si="66"/>
        <v>269</v>
      </c>
      <c r="BZ35" s="3">
        <f t="shared" si="64"/>
        <v>291</v>
      </c>
      <c r="CA35" s="3">
        <f t="shared" si="64"/>
        <v>59</v>
      </c>
      <c r="CB35" s="3">
        <f t="shared" si="66"/>
        <v>350</v>
      </c>
      <c r="CC35" s="3">
        <f t="shared" si="64"/>
        <v>339</v>
      </c>
      <c r="CD35" s="3">
        <f t="shared" si="64"/>
        <v>53</v>
      </c>
      <c r="CE35" s="3">
        <f t="shared" si="66"/>
        <v>392</v>
      </c>
      <c r="CF35" s="3">
        <f t="shared" si="64"/>
        <v>344</v>
      </c>
      <c r="CG35" s="3">
        <f t="shared" si="64"/>
        <v>51</v>
      </c>
      <c r="CH35" s="3">
        <f t="shared" ref="CH35:CK35" si="67">SUM(CH3:CH34)</f>
        <v>395</v>
      </c>
      <c r="CI35" s="3">
        <f t="shared" si="64"/>
        <v>308</v>
      </c>
      <c r="CJ35" s="3">
        <f t="shared" si="64"/>
        <v>45</v>
      </c>
      <c r="CK35" s="3">
        <f t="shared" si="67"/>
        <v>353</v>
      </c>
      <c r="CL35" s="3">
        <f t="shared" si="64"/>
        <v>305</v>
      </c>
      <c r="CM35" s="3">
        <f t="shared" si="64"/>
        <v>0</v>
      </c>
      <c r="CN35" s="3">
        <f t="shared" ref="CN35:CQ35" si="68">SUM(CN3:CN34)</f>
        <v>305</v>
      </c>
      <c r="CO35" s="3">
        <f t="shared" si="64"/>
        <v>276</v>
      </c>
      <c r="CP35" s="3">
        <f t="shared" si="64"/>
        <v>57</v>
      </c>
      <c r="CQ35" s="3">
        <f t="shared" si="68"/>
        <v>333</v>
      </c>
      <c r="CR35" s="3">
        <f t="shared" si="64"/>
        <v>377</v>
      </c>
      <c r="CS35" s="3">
        <f t="shared" si="64"/>
        <v>43</v>
      </c>
      <c r="CT35" s="3">
        <f t="shared" ref="CT35" si="69">SUM(CT3:CT34)</f>
        <v>420</v>
      </c>
      <c r="CU35" s="3">
        <f t="shared" si="55"/>
        <v>8222</v>
      </c>
      <c r="CV35" s="21">
        <f t="shared" si="55"/>
        <v>1</v>
      </c>
      <c r="CW35" s="3">
        <f t="shared" si="55"/>
        <v>3581</v>
      </c>
      <c r="CX35" s="22">
        <f t="shared" si="33"/>
        <v>0.43553879834590126</v>
      </c>
      <c r="CY35" s="3">
        <f>SUM(CY3:CY34)</f>
        <v>103</v>
      </c>
      <c r="CZ35" s="8">
        <f>SUM(CZ3:CZ34)</f>
        <v>103</v>
      </c>
      <c r="DA35" s="22">
        <f>CZ35/CU35</f>
        <v>1.2527365604475796E-2</v>
      </c>
      <c r="DB35" s="3"/>
      <c r="DC35" s="3"/>
      <c r="DD35" s="3"/>
    </row>
    <row r="36" spans="1:108" x14ac:dyDescent="0.25">
      <c r="A36" s="3" t="s">
        <v>48</v>
      </c>
      <c r="B36" s="3"/>
      <c r="C36" s="3"/>
      <c r="D36" s="3"/>
      <c r="E36" s="3"/>
      <c r="F36" s="3"/>
      <c r="G36" s="3"/>
      <c r="H36" s="3">
        <v>310</v>
      </c>
      <c r="I36" s="3"/>
      <c r="J36" s="3"/>
      <c r="K36" s="3">
        <v>310</v>
      </c>
      <c r="L36" s="3"/>
      <c r="M36" s="3"/>
      <c r="N36" s="3">
        <v>310</v>
      </c>
      <c r="O36" s="3"/>
      <c r="P36" s="3"/>
      <c r="Q36" s="3">
        <v>340</v>
      </c>
      <c r="R36" s="3"/>
      <c r="S36" s="3"/>
      <c r="T36" s="3">
        <v>340</v>
      </c>
      <c r="U36" s="3"/>
      <c r="V36" s="3"/>
      <c r="W36" s="3">
        <v>320</v>
      </c>
      <c r="X36" s="3"/>
      <c r="Y36" s="3"/>
      <c r="Z36" s="3">
        <v>280</v>
      </c>
      <c r="AA36" s="3"/>
      <c r="AB36" s="3"/>
      <c r="AC36" s="3">
        <v>280</v>
      </c>
      <c r="AD36" s="3"/>
      <c r="AE36" s="3"/>
      <c r="AF36" s="3">
        <v>280</v>
      </c>
      <c r="AG36" s="3"/>
      <c r="AH36" s="3"/>
      <c r="AI36" s="3">
        <v>320</v>
      </c>
      <c r="AJ36" s="3"/>
      <c r="AK36" s="3"/>
      <c r="AL36" s="3">
        <v>350</v>
      </c>
      <c r="AM36" s="3"/>
      <c r="AN36" s="3"/>
      <c r="AO36" s="3">
        <v>350</v>
      </c>
      <c r="AP36" s="3"/>
      <c r="AQ36" s="3"/>
      <c r="AR36" s="3">
        <v>350</v>
      </c>
      <c r="AS36" s="3"/>
      <c r="AT36" s="3"/>
      <c r="AU36" s="3">
        <v>320</v>
      </c>
      <c r="AV36" s="3"/>
      <c r="AW36" s="3"/>
      <c r="AX36" s="3">
        <v>320</v>
      </c>
      <c r="AY36" s="3"/>
      <c r="AZ36" s="3"/>
      <c r="BA36" s="3">
        <v>280</v>
      </c>
      <c r="BB36" s="3"/>
      <c r="BC36" s="3"/>
      <c r="BD36" s="3">
        <v>280</v>
      </c>
      <c r="BE36" s="3"/>
      <c r="BF36" s="3"/>
      <c r="BG36" s="3">
        <v>280</v>
      </c>
      <c r="BH36" s="3"/>
      <c r="BI36" s="3"/>
      <c r="BJ36" s="3">
        <v>280</v>
      </c>
      <c r="BK36" s="3"/>
      <c r="BL36" s="3"/>
      <c r="BM36" s="3">
        <v>280</v>
      </c>
      <c r="BN36" s="3"/>
      <c r="BO36" s="3"/>
      <c r="BP36" s="3">
        <v>280</v>
      </c>
      <c r="BQ36" s="3"/>
      <c r="BR36" s="3"/>
      <c r="BS36" s="3">
        <v>280</v>
      </c>
      <c r="BT36" s="3"/>
      <c r="BU36" s="3"/>
      <c r="BV36" s="3">
        <v>280</v>
      </c>
      <c r="BW36" s="3"/>
      <c r="BX36" s="3"/>
      <c r="BY36" s="3">
        <v>280</v>
      </c>
      <c r="BZ36" s="3"/>
      <c r="CA36" s="3"/>
      <c r="CB36" s="3">
        <v>340</v>
      </c>
      <c r="CC36" s="3"/>
      <c r="CD36" s="3"/>
      <c r="CE36" s="3">
        <v>340</v>
      </c>
      <c r="CF36" s="3"/>
      <c r="CG36" s="3"/>
      <c r="CH36" s="3">
        <v>340</v>
      </c>
      <c r="CI36" s="3"/>
      <c r="CJ36" s="3"/>
      <c r="CK36" s="3">
        <v>340</v>
      </c>
      <c r="CL36" s="3"/>
      <c r="CM36" s="3"/>
      <c r="CN36" s="3">
        <v>340</v>
      </c>
      <c r="CO36" s="3"/>
      <c r="CP36" s="3"/>
      <c r="CQ36" s="3">
        <v>340</v>
      </c>
      <c r="CR36" s="3"/>
      <c r="CS36" s="3"/>
      <c r="CT36" s="3">
        <v>340</v>
      </c>
      <c r="CU36" s="3">
        <f>H36+K36+N36+Q36+T36+W36+Z36+AC36+AF36+AI36+AL36+AO36+AR36+AU36+AX36+BA36+BD36+BG36+BJ36+BM36+BP36+BS36+BV36+BY36+CB36+CE36+CH36+CK36+CN36+CQ36+CT36</f>
        <v>9680</v>
      </c>
      <c r="CV36" s="21">
        <f>CU35/CU36</f>
        <v>0.84938016528925619</v>
      </c>
      <c r="CW36" s="23"/>
      <c r="CX36" s="24"/>
      <c r="CY36" s="24"/>
      <c r="CZ36" s="24"/>
      <c r="DA36" s="24"/>
      <c r="DB36" s="23"/>
      <c r="DC36" s="23"/>
      <c r="DD36" s="23"/>
    </row>
    <row r="37" spans="1:108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"/>
      <c r="CW37" s="2"/>
      <c r="CX37" s="2"/>
      <c r="CY37" s="2"/>
      <c r="CZ37" s="2"/>
      <c r="DA37" s="2"/>
      <c r="DB37" s="2"/>
      <c r="DC37" s="2"/>
      <c r="DD37" s="2"/>
    </row>
    <row r="38" spans="1:108" ht="15.75" x14ac:dyDescent="0.25">
      <c r="A38" s="51" t="s">
        <v>49</v>
      </c>
      <c r="B38" s="46"/>
      <c r="C38" s="46"/>
      <c r="D38" s="50" t="s">
        <v>1</v>
      </c>
      <c r="E38" s="47"/>
      <c r="F38" s="1"/>
      <c r="G38" s="1"/>
      <c r="H38" s="1" t="s">
        <v>59</v>
      </c>
      <c r="I38" s="1"/>
      <c r="J38" s="1"/>
      <c r="K38" s="1" t="s">
        <v>62</v>
      </c>
      <c r="L38" s="1"/>
      <c r="M38" s="1"/>
      <c r="N38" s="1" t="s">
        <v>65</v>
      </c>
      <c r="O38" s="1"/>
      <c r="P38" s="1"/>
      <c r="Q38" s="1" t="s">
        <v>66</v>
      </c>
      <c r="R38" s="1"/>
      <c r="S38" s="1"/>
      <c r="T38" s="1" t="s">
        <v>67</v>
      </c>
      <c r="U38" s="1"/>
      <c r="V38" s="1"/>
      <c r="W38" s="1" t="s">
        <v>74</v>
      </c>
      <c r="X38" s="1"/>
      <c r="Y38" s="1"/>
      <c r="Z38" s="1" t="s">
        <v>77</v>
      </c>
      <c r="AA38" s="1"/>
      <c r="AB38" s="1"/>
      <c r="AC38" s="1" t="s">
        <v>59</v>
      </c>
      <c r="AD38" s="1"/>
      <c r="AE38" s="1"/>
      <c r="AF38" s="1" t="s">
        <v>62</v>
      </c>
      <c r="AG38" s="1"/>
      <c r="AH38" s="1"/>
      <c r="AI38" s="1" t="s">
        <v>65</v>
      </c>
      <c r="AJ38" s="1"/>
      <c r="AK38" s="1"/>
      <c r="AL38" s="1" t="s">
        <v>66</v>
      </c>
      <c r="AM38" s="1"/>
      <c r="AN38" s="1"/>
      <c r="AO38" s="1" t="s">
        <v>67</v>
      </c>
      <c r="AP38" s="1"/>
      <c r="AQ38" s="1"/>
      <c r="AR38" s="1" t="s">
        <v>74</v>
      </c>
      <c r="AS38" s="1"/>
      <c r="AT38" s="1"/>
      <c r="AU38" s="1" t="s">
        <v>77</v>
      </c>
      <c r="AV38" s="1"/>
      <c r="AW38" s="1"/>
      <c r="AX38" s="1" t="s">
        <v>59</v>
      </c>
      <c r="AY38" s="1"/>
      <c r="AZ38" s="1"/>
      <c r="BA38" s="1" t="s">
        <v>62</v>
      </c>
      <c r="BB38" s="1"/>
      <c r="BC38" s="1"/>
      <c r="BD38" s="1" t="s">
        <v>65</v>
      </c>
      <c r="BE38" s="1"/>
      <c r="BF38" s="1"/>
      <c r="BG38" s="1" t="s">
        <v>66</v>
      </c>
      <c r="BH38" s="1"/>
      <c r="BI38" s="1"/>
      <c r="BJ38" s="1" t="s">
        <v>67</v>
      </c>
      <c r="BK38" s="1"/>
      <c r="BL38" s="1"/>
      <c r="BM38" s="1" t="s">
        <v>74</v>
      </c>
      <c r="BN38" s="1"/>
      <c r="BO38" s="1"/>
      <c r="BP38" s="1" t="s">
        <v>77</v>
      </c>
      <c r="BQ38" s="1"/>
      <c r="BR38" s="1"/>
      <c r="BS38" s="1" t="s">
        <v>59</v>
      </c>
      <c r="BT38" s="1"/>
      <c r="BU38" s="1"/>
      <c r="BV38" s="1" t="s">
        <v>62</v>
      </c>
      <c r="BW38" s="1"/>
      <c r="BX38" s="1"/>
      <c r="BY38" s="1" t="s">
        <v>65</v>
      </c>
      <c r="BZ38" s="1"/>
      <c r="CA38" s="1"/>
      <c r="CB38" s="1" t="s">
        <v>66</v>
      </c>
      <c r="CC38" s="1"/>
      <c r="CD38" s="1"/>
      <c r="CE38" s="1" t="s">
        <v>67</v>
      </c>
      <c r="CF38" s="1"/>
      <c r="CG38" s="1"/>
      <c r="CH38" s="1" t="s">
        <v>74</v>
      </c>
      <c r="CI38" s="1"/>
      <c r="CJ38" s="1"/>
      <c r="CK38" s="1" t="s">
        <v>77</v>
      </c>
      <c r="CL38" s="1"/>
      <c r="CM38" s="1"/>
      <c r="CN38" s="1" t="s">
        <v>59</v>
      </c>
      <c r="CO38" s="1"/>
      <c r="CP38" s="1"/>
      <c r="CQ38" s="1" t="s">
        <v>62</v>
      </c>
      <c r="CR38" s="1"/>
      <c r="CS38" s="1"/>
      <c r="CT38" s="1" t="s">
        <v>65</v>
      </c>
      <c r="CU38" s="26"/>
      <c r="CV38" s="2"/>
      <c r="CW38" s="2"/>
      <c r="CX38" s="2"/>
      <c r="CY38" s="2"/>
      <c r="CZ38" s="2"/>
      <c r="DA38" s="2"/>
      <c r="DB38" s="2"/>
      <c r="DC38" s="2"/>
      <c r="DD38" s="2"/>
    </row>
    <row r="39" spans="1:108" ht="45" x14ac:dyDescent="0.25">
      <c r="A39" s="3" t="s">
        <v>2</v>
      </c>
      <c r="B39" s="4" t="s">
        <v>3</v>
      </c>
      <c r="C39" s="5" t="s">
        <v>4</v>
      </c>
      <c r="D39" s="4" t="s">
        <v>5</v>
      </c>
      <c r="E39" s="4" t="s">
        <v>6</v>
      </c>
      <c r="F39" s="6" t="s">
        <v>60</v>
      </c>
      <c r="G39" s="6" t="s">
        <v>61</v>
      </c>
      <c r="H39" s="6">
        <v>46204</v>
      </c>
      <c r="I39" s="6" t="s">
        <v>63</v>
      </c>
      <c r="J39" s="6" t="s">
        <v>64</v>
      </c>
      <c r="K39" s="6">
        <v>46205</v>
      </c>
      <c r="L39" s="6" t="s">
        <v>68</v>
      </c>
      <c r="M39" s="6" t="s">
        <v>69</v>
      </c>
      <c r="N39" s="6">
        <v>46206</v>
      </c>
      <c r="O39" s="6" t="s">
        <v>70</v>
      </c>
      <c r="P39" s="6" t="s">
        <v>71</v>
      </c>
      <c r="Q39" s="6">
        <v>46207</v>
      </c>
      <c r="R39" s="6" t="s">
        <v>72</v>
      </c>
      <c r="S39" s="6" t="s">
        <v>73</v>
      </c>
      <c r="T39" s="6">
        <v>46208</v>
      </c>
      <c r="U39" s="6" t="s">
        <v>75</v>
      </c>
      <c r="V39" s="6" t="s">
        <v>76</v>
      </c>
      <c r="W39" s="6">
        <v>46209</v>
      </c>
      <c r="X39" s="6" t="s">
        <v>78</v>
      </c>
      <c r="Y39" s="6" t="s">
        <v>79</v>
      </c>
      <c r="Z39" s="6">
        <v>46210</v>
      </c>
      <c r="AA39" s="6" t="s">
        <v>80</v>
      </c>
      <c r="AB39" s="6" t="s">
        <v>81</v>
      </c>
      <c r="AC39" s="6">
        <v>46211</v>
      </c>
      <c r="AD39" s="6" t="s">
        <v>83</v>
      </c>
      <c r="AE39" s="6" t="s">
        <v>84</v>
      </c>
      <c r="AF39" s="6">
        <v>46212</v>
      </c>
      <c r="AG39" s="6" t="s">
        <v>85</v>
      </c>
      <c r="AH39" s="6" t="s">
        <v>86</v>
      </c>
      <c r="AI39" s="6">
        <v>46213</v>
      </c>
      <c r="AJ39" s="6" t="s">
        <v>88</v>
      </c>
      <c r="AK39" s="6" t="s">
        <v>87</v>
      </c>
      <c r="AL39" s="6">
        <v>46214</v>
      </c>
      <c r="AM39" s="6" t="s">
        <v>89</v>
      </c>
      <c r="AN39" s="6" t="s">
        <v>90</v>
      </c>
      <c r="AO39" s="6">
        <v>46215</v>
      </c>
      <c r="AP39" s="6" t="s">
        <v>91</v>
      </c>
      <c r="AQ39" s="6" t="s">
        <v>92</v>
      </c>
      <c r="AR39" s="6">
        <v>46216</v>
      </c>
      <c r="AS39" s="6" t="s">
        <v>93</v>
      </c>
      <c r="AT39" s="6" t="s">
        <v>94</v>
      </c>
      <c r="AU39" s="6">
        <v>46217</v>
      </c>
      <c r="AV39" s="6" t="s">
        <v>96</v>
      </c>
      <c r="AW39" s="6" t="s">
        <v>95</v>
      </c>
      <c r="AX39" s="6">
        <v>46218</v>
      </c>
      <c r="AY39" s="6" t="s">
        <v>97</v>
      </c>
      <c r="AZ39" s="6" t="s">
        <v>98</v>
      </c>
      <c r="BA39" s="6">
        <v>46219</v>
      </c>
      <c r="BB39" s="6" t="s">
        <v>101</v>
      </c>
      <c r="BC39" s="6" t="s">
        <v>102</v>
      </c>
      <c r="BD39" s="6">
        <v>46220</v>
      </c>
      <c r="BE39" s="6" t="s">
        <v>103</v>
      </c>
      <c r="BF39" s="6" t="s">
        <v>104</v>
      </c>
      <c r="BG39" s="6">
        <v>46221</v>
      </c>
      <c r="BH39" s="6" t="s">
        <v>105</v>
      </c>
      <c r="BI39" s="6" t="s">
        <v>106</v>
      </c>
      <c r="BJ39" s="6">
        <v>46222</v>
      </c>
      <c r="BK39" s="6" t="s">
        <v>107</v>
      </c>
      <c r="BL39" s="6" t="s">
        <v>108</v>
      </c>
      <c r="BM39" s="6">
        <v>46223</v>
      </c>
      <c r="BN39" s="6" t="s">
        <v>109</v>
      </c>
      <c r="BO39" s="6" t="s">
        <v>110</v>
      </c>
      <c r="BP39" s="6">
        <v>46224</v>
      </c>
      <c r="BQ39" s="6" t="s">
        <v>111</v>
      </c>
      <c r="BR39" s="6" t="s">
        <v>112</v>
      </c>
      <c r="BS39" s="6">
        <v>46225</v>
      </c>
      <c r="BT39" s="6" t="s">
        <v>113</v>
      </c>
      <c r="BU39" s="6" t="s">
        <v>114</v>
      </c>
      <c r="BV39" s="6">
        <v>46226</v>
      </c>
      <c r="BW39" s="6" t="s">
        <v>115</v>
      </c>
      <c r="BX39" s="6" t="s">
        <v>116</v>
      </c>
      <c r="BY39" s="6">
        <v>46227</v>
      </c>
      <c r="BZ39" s="6" t="s">
        <v>117</v>
      </c>
      <c r="CA39" s="6" t="s">
        <v>118</v>
      </c>
      <c r="CB39" s="6">
        <v>46228</v>
      </c>
      <c r="CC39" s="6" t="s">
        <v>119</v>
      </c>
      <c r="CD39" s="6" t="s">
        <v>120</v>
      </c>
      <c r="CE39" s="6">
        <v>46229</v>
      </c>
      <c r="CF39" s="6" t="s">
        <v>121</v>
      </c>
      <c r="CG39" s="6" t="s">
        <v>122</v>
      </c>
      <c r="CH39" s="6">
        <v>46230</v>
      </c>
      <c r="CI39" s="6" t="s">
        <v>123</v>
      </c>
      <c r="CJ39" s="6" t="s">
        <v>124</v>
      </c>
      <c r="CK39" s="6">
        <v>46231</v>
      </c>
      <c r="CL39" s="6" t="s">
        <v>125</v>
      </c>
      <c r="CM39" s="6" t="s">
        <v>126</v>
      </c>
      <c r="CN39" s="6">
        <v>46232</v>
      </c>
      <c r="CO39" s="6" t="s">
        <v>127</v>
      </c>
      <c r="CP39" s="6" t="s">
        <v>128</v>
      </c>
      <c r="CQ39" s="6">
        <v>46233</v>
      </c>
      <c r="CR39" s="6" t="s">
        <v>129</v>
      </c>
      <c r="CS39" s="6" t="s">
        <v>130</v>
      </c>
      <c r="CT39" s="6">
        <v>46234</v>
      </c>
      <c r="CU39" s="27" t="s">
        <v>7</v>
      </c>
      <c r="CV39" s="2"/>
      <c r="CW39" s="2"/>
      <c r="CX39" s="2"/>
      <c r="CY39" s="2"/>
      <c r="CZ39" s="2"/>
      <c r="DA39" s="2"/>
      <c r="DB39" s="2"/>
      <c r="DC39" s="2"/>
      <c r="DD39" s="2"/>
    </row>
    <row r="40" spans="1:108" x14ac:dyDescent="0.25">
      <c r="A40" s="10" t="s">
        <v>15</v>
      </c>
      <c r="B40" s="10">
        <v>23</v>
      </c>
      <c r="C40" s="10" t="s">
        <v>16</v>
      </c>
      <c r="D40" s="11">
        <v>0.73923739237392372</v>
      </c>
      <c r="E40" s="11">
        <v>0.26076260762607628</v>
      </c>
      <c r="F40" s="28"/>
      <c r="G40" s="29"/>
      <c r="H40" s="10">
        <f t="shared" ref="H40:H68" si="70">SUM(F40+G40)</f>
        <v>0</v>
      </c>
      <c r="I40" s="10"/>
      <c r="J40" s="10"/>
      <c r="K40" s="10">
        <f t="shared" ref="K40:K71" si="71">SUM(I40+J40)</f>
        <v>0</v>
      </c>
      <c r="L40" s="10">
        <v>0</v>
      </c>
      <c r="M40" s="10"/>
      <c r="N40" s="10">
        <f t="shared" ref="N40" si="72">SUM(L40+M40)</f>
        <v>0</v>
      </c>
      <c r="O40" s="10">
        <v>1</v>
      </c>
      <c r="P40" s="10"/>
      <c r="Q40" s="10">
        <f t="shared" ref="Q40" si="73">SUM(O40+P40)</f>
        <v>1</v>
      </c>
      <c r="R40" s="10">
        <v>0</v>
      </c>
      <c r="S40" s="10"/>
      <c r="T40" s="10">
        <f t="shared" ref="T40" si="74">SUM(R40+S40)</f>
        <v>0</v>
      </c>
      <c r="U40" s="10"/>
      <c r="V40" s="10"/>
      <c r="W40" s="10">
        <f t="shared" ref="W40:W71" si="75">U40+V40</f>
        <v>0</v>
      </c>
      <c r="X40" s="10"/>
      <c r="Y40" s="10"/>
      <c r="Z40" s="10">
        <f t="shared" ref="Z40" si="76">X40+Y40</f>
        <v>0</v>
      </c>
      <c r="AA40" s="10"/>
      <c r="AB40" s="10"/>
      <c r="AC40" s="10">
        <f t="shared" ref="AC40" si="77">AA40+AB40</f>
        <v>0</v>
      </c>
      <c r="AD40" s="10">
        <v>1</v>
      </c>
      <c r="AE40" s="10"/>
      <c r="AF40" s="10">
        <f t="shared" ref="AF40:AF71" si="78">AB40+AC40</f>
        <v>0</v>
      </c>
      <c r="AG40" s="10">
        <v>0</v>
      </c>
      <c r="AH40" s="10"/>
      <c r="AI40" s="10">
        <f t="shared" ref="AI40" si="79">AG40+AH40</f>
        <v>0</v>
      </c>
      <c r="AJ40" s="10">
        <v>0</v>
      </c>
      <c r="AK40" s="10"/>
      <c r="AL40" s="10">
        <f t="shared" ref="AL40" si="80">AJ40+AK40</f>
        <v>0</v>
      </c>
      <c r="AM40" s="10">
        <v>1</v>
      </c>
      <c r="AN40" s="10"/>
      <c r="AO40" s="10">
        <f t="shared" ref="AO40" si="81">AM40+AN40</f>
        <v>1</v>
      </c>
      <c r="AP40" s="10">
        <v>1</v>
      </c>
      <c r="AQ40" s="10"/>
      <c r="AR40" s="10">
        <f t="shared" ref="AR40:AR71" si="82">AP40+AQ40</f>
        <v>1</v>
      </c>
      <c r="AS40" s="10"/>
      <c r="AT40" s="10"/>
      <c r="AU40" s="10">
        <f t="shared" ref="AU40:AU71" si="83">AS40+AT40</f>
        <v>0</v>
      </c>
      <c r="AV40" s="10">
        <v>1</v>
      </c>
      <c r="AW40" s="10"/>
      <c r="AX40" s="10">
        <f t="shared" ref="AX40:AX71" si="84">AV40+AW40</f>
        <v>1</v>
      </c>
      <c r="AY40" s="10"/>
      <c r="AZ40" s="10"/>
      <c r="BA40" s="10">
        <f t="shared" ref="BA40:BA71" si="85">AY40+AZ40</f>
        <v>0</v>
      </c>
      <c r="BB40" s="10">
        <v>1</v>
      </c>
      <c r="BC40" s="10"/>
      <c r="BD40" s="10">
        <f t="shared" ref="BD40:BD71" si="86">BB40+BC40</f>
        <v>1</v>
      </c>
      <c r="BE40" s="10">
        <v>0</v>
      </c>
      <c r="BF40" s="10"/>
      <c r="BG40" s="10">
        <f t="shared" ref="BG40:BG71" si="87">BE40+BF40</f>
        <v>0</v>
      </c>
      <c r="BH40" s="10">
        <v>2</v>
      </c>
      <c r="BI40" s="10"/>
      <c r="BJ40" s="10">
        <f t="shared" ref="BJ40:BJ71" si="88">BH40+BI40</f>
        <v>2</v>
      </c>
      <c r="BK40" s="10">
        <v>1</v>
      </c>
      <c r="BL40" s="10"/>
      <c r="BM40" s="10">
        <f t="shared" ref="BM40:BM71" si="89">BK40+BL40</f>
        <v>1</v>
      </c>
      <c r="BN40" s="10">
        <v>1</v>
      </c>
      <c r="BO40" s="10"/>
      <c r="BP40" s="10">
        <f t="shared" ref="BP40:BP71" si="90">BN40+BO40</f>
        <v>1</v>
      </c>
      <c r="BQ40" s="10">
        <v>1</v>
      </c>
      <c r="BR40" s="10"/>
      <c r="BS40" s="10">
        <f t="shared" ref="BS40:BS71" si="91">BQ40+BR40</f>
        <v>1</v>
      </c>
      <c r="BT40" s="10">
        <v>3</v>
      </c>
      <c r="BU40" s="10"/>
      <c r="BV40" s="10">
        <f t="shared" ref="BV40:BV71" si="92">BT40+BU40</f>
        <v>3</v>
      </c>
      <c r="BW40" s="10">
        <v>0</v>
      </c>
      <c r="BX40" s="10"/>
      <c r="BY40" s="10">
        <f t="shared" ref="BY40" si="93">BW40+BX40</f>
        <v>0</v>
      </c>
      <c r="BZ40" s="10">
        <v>1</v>
      </c>
      <c r="CA40" s="10"/>
      <c r="CB40" s="10">
        <f t="shared" ref="CB40" si="94">BZ40+CA40</f>
        <v>1</v>
      </c>
      <c r="CC40" s="10">
        <v>1</v>
      </c>
      <c r="CD40" s="10"/>
      <c r="CE40" s="10">
        <f t="shared" ref="CE40" si="95">CC40+CD40</f>
        <v>1</v>
      </c>
      <c r="CF40" s="10">
        <v>4</v>
      </c>
      <c r="CG40" s="10"/>
      <c r="CH40" s="10">
        <f t="shared" ref="CH40:CH71" si="96">CF40+CG40</f>
        <v>4</v>
      </c>
      <c r="CI40" s="10">
        <v>2</v>
      </c>
      <c r="CJ40" s="10"/>
      <c r="CK40" s="10">
        <f t="shared" ref="CK40:CK71" si="97">CI40+CJ40</f>
        <v>2</v>
      </c>
      <c r="CL40" s="10">
        <v>2</v>
      </c>
      <c r="CM40" s="10"/>
      <c r="CN40" s="10">
        <f t="shared" ref="CN40:CN71" si="98">CL40+CM40</f>
        <v>2</v>
      </c>
      <c r="CO40" s="10">
        <v>1</v>
      </c>
      <c r="CP40" s="10"/>
      <c r="CQ40" s="10">
        <f t="shared" ref="CQ40:CQ71" si="99">CO40+CP40</f>
        <v>1</v>
      </c>
      <c r="CR40" s="10">
        <v>1</v>
      </c>
      <c r="CS40" s="10"/>
      <c r="CT40" s="10">
        <f t="shared" ref="CT40:CT71" si="100">CR40+CS40</f>
        <v>1</v>
      </c>
      <c r="CU40" s="10">
        <f>H40+K40+N40+Q40+T40+W40+Z40+AC40+AF40+AI40+AL40+AO40+AR40+AU40+AX40+BA40+BD40+BG40+BJ40+BM40+BP40+BS40+BV40+BY40+CB40+CE40+CH40+CK40+CN40+CQ40+CT40</f>
        <v>25</v>
      </c>
      <c r="CV40" s="2"/>
      <c r="CW40" s="30"/>
      <c r="CX40" s="2"/>
      <c r="CY40" s="2"/>
      <c r="CZ40" s="2"/>
      <c r="DA40" s="2"/>
      <c r="DB40" s="2"/>
      <c r="DC40" s="2"/>
      <c r="DD40" s="2"/>
    </row>
    <row r="41" spans="1:108" x14ac:dyDescent="0.25">
      <c r="A41" s="10" t="s">
        <v>17</v>
      </c>
      <c r="B41" s="10">
        <v>4</v>
      </c>
      <c r="C41" s="10" t="s">
        <v>16</v>
      </c>
      <c r="D41" s="11">
        <v>1</v>
      </c>
      <c r="E41" s="11">
        <v>0</v>
      </c>
      <c r="F41" s="28"/>
      <c r="G41" s="29"/>
      <c r="H41" s="10">
        <f t="shared" si="70"/>
        <v>0</v>
      </c>
      <c r="I41" s="10"/>
      <c r="J41" s="10"/>
      <c r="K41" s="10">
        <f t="shared" si="71"/>
        <v>0</v>
      </c>
      <c r="L41" s="10"/>
      <c r="M41" s="10"/>
      <c r="N41" s="10">
        <f t="shared" ref="N41:N71" si="101">SUM(L41+M41)</f>
        <v>0</v>
      </c>
      <c r="O41" s="10"/>
      <c r="P41" s="10"/>
      <c r="Q41" s="10">
        <f t="shared" ref="Q41:Q71" si="102">SUM(O41+P41)</f>
        <v>0</v>
      </c>
      <c r="R41" s="10"/>
      <c r="S41" s="10"/>
      <c r="T41" s="10">
        <f t="shared" ref="T41:T71" si="103">SUM(R41+S41)</f>
        <v>0</v>
      </c>
      <c r="U41" s="10"/>
      <c r="V41" s="10"/>
      <c r="W41" s="10">
        <f t="shared" si="75"/>
        <v>0</v>
      </c>
      <c r="X41" s="10"/>
      <c r="Y41" s="10"/>
      <c r="Z41" s="10">
        <f t="shared" ref="Z41:Z71" si="104">X41+Y41</f>
        <v>0</v>
      </c>
      <c r="AA41" s="10"/>
      <c r="AB41" s="10"/>
      <c r="AC41" s="10">
        <f t="shared" ref="AC41:AC71" si="105">AA41+AB41</f>
        <v>0</v>
      </c>
      <c r="AD41" s="10"/>
      <c r="AE41" s="10"/>
      <c r="AF41" s="10">
        <f t="shared" si="78"/>
        <v>0</v>
      </c>
      <c r="AG41" s="10"/>
      <c r="AH41" s="10"/>
      <c r="AI41" s="10">
        <f t="shared" ref="AI41:AI71" si="106">AG41+AH41</f>
        <v>0</v>
      </c>
      <c r="AJ41" s="10"/>
      <c r="AK41" s="10"/>
      <c r="AL41" s="10">
        <f t="shared" ref="AL41:AL71" si="107">AJ41+AK41</f>
        <v>0</v>
      </c>
      <c r="AM41" s="10"/>
      <c r="AN41" s="10"/>
      <c r="AO41" s="10">
        <f t="shared" ref="AO41:AO71" si="108">AM41+AN41</f>
        <v>0</v>
      </c>
      <c r="AP41" s="10"/>
      <c r="AQ41" s="10"/>
      <c r="AR41" s="10">
        <f t="shared" si="82"/>
        <v>0</v>
      </c>
      <c r="AS41" s="10"/>
      <c r="AT41" s="10"/>
      <c r="AU41" s="10">
        <f t="shared" si="83"/>
        <v>0</v>
      </c>
      <c r="AV41" s="10"/>
      <c r="AW41" s="10"/>
      <c r="AX41" s="10">
        <f t="shared" si="84"/>
        <v>0</v>
      </c>
      <c r="AY41" s="10"/>
      <c r="AZ41" s="10"/>
      <c r="BA41" s="10">
        <f t="shared" si="85"/>
        <v>0</v>
      </c>
      <c r="BB41" s="10"/>
      <c r="BC41" s="10"/>
      <c r="BD41" s="10">
        <f t="shared" si="86"/>
        <v>0</v>
      </c>
      <c r="BE41" s="10"/>
      <c r="BF41" s="10"/>
      <c r="BG41" s="10">
        <f t="shared" si="87"/>
        <v>0</v>
      </c>
      <c r="BH41" s="10"/>
      <c r="BI41" s="10"/>
      <c r="BJ41" s="10">
        <f t="shared" si="88"/>
        <v>0</v>
      </c>
      <c r="BK41" s="10"/>
      <c r="BL41" s="10"/>
      <c r="BM41" s="10">
        <f t="shared" si="89"/>
        <v>0</v>
      </c>
      <c r="BN41" s="10"/>
      <c r="BO41" s="10"/>
      <c r="BP41" s="10">
        <f t="shared" si="90"/>
        <v>0</v>
      </c>
      <c r="BQ41" s="10"/>
      <c r="BR41" s="10"/>
      <c r="BS41" s="10">
        <f t="shared" si="91"/>
        <v>0</v>
      </c>
      <c r="BT41" s="10"/>
      <c r="BU41" s="10"/>
      <c r="BV41" s="10">
        <f t="shared" si="92"/>
        <v>0</v>
      </c>
      <c r="BW41" s="10"/>
      <c r="BX41" s="10"/>
      <c r="BY41" s="10">
        <f t="shared" ref="BY41:BY71" si="109">BW41+BX41</f>
        <v>0</v>
      </c>
      <c r="BZ41" s="10"/>
      <c r="CA41" s="10"/>
      <c r="CB41" s="10">
        <f t="shared" ref="CB41:CB71" si="110">BZ41+CA41</f>
        <v>0</v>
      </c>
      <c r="CC41" s="10"/>
      <c r="CD41" s="10"/>
      <c r="CE41" s="10">
        <f t="shared" ref="CE41:CE71" si="111">CC41+CD41</f>
        <v>0</v>
      </c>
      <c r="CF41" s="10"/>
      <c r="CG41" s="10"/>
      <c r="CH41" s="10">
        <f t="shared" si="96"/>
        <v>0</v>
      </c>
      <c r="CI41" s="10"/>
      <c r="CJ41" s="10"/>
      <c r="CK41" s="10">
        <f t="shared" si="97"/>
        <v>0</v>
      </c>
      <c r="CL41" s="10"/>
      <c r="CM41" s="10"/>
      <c r="CN41" s="10">
        <f t="shared" si="98"/>
        <v>0</v>
      </c>
      <c r="CO41" s="10"/>
      <c r="CP41" s="10"/>
      <c r="CQ41" s="10">
        <f t="shared" si="99"/>
        <v>0</v>
      </c>
      <c r="CR41" s="10"/>
      <c r="CS41" s="10"/>
      <c r="CT41" s="10">
        <f t="shared" si="100"/>
        <v>0</v>
      </c>
      <c r="CU41" s="10">
        <f t="shared" ref="CU41:CU71" si="112">H41+K41+N41+Q41+T41+W41+Z41+AC41+AF41+AI41+AL41+AO41+AR41+AU41+AX41+BA41+BD41+BG41+BJ41+BM41+BP41+BS41+BV41+BY41+CB41+CE41+CH41+CK41+CN41+CQ41+CT41</f>
        <v>0</v>
      </c>
      <c r="CV41" s="2"/>
      <c r="CW41" s="2"/>
      <c r="CX41" s="2"/>
      <c r="CY41" s="2"/>
      <c r="CZ41" s="2"/>
      <c r="DA41" s="2"/>
      <c r="DB41" s="2"/>
      <c r="DC41" s="2"/>
      <c r="DD41" s="2"/>
    </row>
    <row r="42" spans="1:108" x14ac:dyDescent="0.25">
      <c r="A42" s="10" t="s">
        <v>18</v>
      </c>
      <c r="B42" s="10">
        <v>7</v>
      </c>
      <c r="C42" s="10" t="s">
        <v>16</v>
      </c>
      <c r="D42" s="11">
        <v>1</v>
      </c>
      <c r="E42" s="11">
        <v>0</v>
      </c>
      <c r="F42" s="28"/>
      <c r="G42" s="29"/>
      <c r="H42" s="10">
        <f t="shared" si="70"/>
        <v>0</v>
      </c>
      <c r="I42" s="10"/>
      <c r="J42" s="10"/>
      <c r="K42" s="10">
        <f t="shared" si="71"/>
        <v>0</v>
      </c>
      <c r="L42" s="10"/>
      <c r="M42" s="10"/>
      <c r="N42" s="10">
        <f t="shared" si="101"/>
        <v>0</v>
      </c>
      <c r="O42" s="10"/>
      <c r="P42" s="10"/>
      <c r="Q42" s="10">
        <f t="shared" si="102"/>
        <v>0</v>
      </c>
      <c r="R42" s="10"/>
      <c r="S42" s="10"/>
      <c r="T42" s="10">
        <f t="shared" si="103"/>
        <v>0</v>
      </c>
      <c r="U42" s="10"/>
      <c r="V42" s="10"/>
      <c r="W42" s="10">
        <f t="shared" si="75"/>
        <v>0</v>
      </c>
      <c r="X42" s="10"/>
      <c r="Y42" s="10"/>
      <c r="Z42" s="10">
        <f t="shared" si="104"/>
        <v>0</v>
      </c>
      <c r="AA42" s="10"/>
      <c r="AB42" s="10"/>
      <c r="AC42" s="10">
        <f t="shared" si="105"/>
        <v>0</v>
      </c>
      <c r="AD42" s="10"/>
      <c r="AE42" s="10"/>
      <c r="AF42" s="10">
        <f t="shared" si="78"/>
        <v>0</v>
      </c>
      <c r="AG42" s="10"/>
      <c r="AH42" s="10"/>
      <c r="AI42" s="10">
        <f t="shared" si="106"/>
        <v>0</v>
      </c>
      <c r="AJ42" s="10"/>
      <c r="AK42" s="10"/>
      <c r="AL42" s="10">
        <f t="shared" si="107"/>
        <v>0</v>
      </c>
      <c r="AM42" s="10"/>
      <c r="AN42" s="10"/>
      <c r="AO42" s="10">
        <f t="shared" si="108"/>
        <v>0</v>
      </c>
      <c r="AP42" s="10"/>
      <c r="AQ42" s="10"/>
      <c r="AR42" s="10">
        <f t="shared" si="82"/>
        <v>0</v>
      </c>
      <c r="AS42" s="10"/>
      <c r="AT42" s="10"/>
      <c r="AU42" s="10">
        <f t="shared" si="83"/>
        <v>0</v>
      </c>
      <c r="AV42" s="10"/>
      <c r="AW42" s="10"/>
      <c r="AX42" s="10">
        <f t="shared" si="84"/>
        <v>0</v>
      </c>
      <c r="AY42" s="10"/>
      <c r="AZ42" s="10"/>
      <c r="BA42" s="10">
        <f t="shared" si="85"/>
        <v>0</v>
      </c>
      <c r="BB42" s="10"/>
      <c r="BC42" s="10"/>
      <c r="BD42" s="10">
        <f t="shared" si="86"/>
        <v>0</v>
      </c>
      <c r="BE42" s="10"/>
      <c r="BF42" s="10"/>
      <c r="BG42" s="10">
        <f t="shared" si="87"/>
        <v>0</v>
      </c>
      <c r="BH42" s="10"/>
      <c r="BI42" s="10"/>
      <c r="BJ42" s="10">
        <f t="shared" si="88"/>
        <v>0</v>
      </c>
      <c r="BK42" s="10"/>
      <c r="BL42" s="10"/>
      <c r="BM42" s="10">
        <f t="shared" si="89"/>
        <v>0</v>
      </c>
      <c r="BN42" s="10"/>
      <c r="BO42" s="10"/>
      <c r="BP42" s="10">
        <f t="shared" si="90"/>
        <v>0</v>
      </c>
      <c r="BQ42" s="10"/>
      <c r="BR42" s="10"/>
      <c r="BS42" s="10">
        <f t="shared" si="91"/>
        <v>0</v>
      </c>
      <c r="BT42" s="10"/>
      <c r="BU42" s="10"/>
      <c r="BV42" s="10">
        <f t="shared" si="92"/>
        <v>0</v>
      </c>
      <c r="BW42" s="10"/>
      <c r="BX42" s="10"/>
      <c r="BY42" s="10">
        <f t="shared" si="109"/>
        <v>0</v>
      </c>
      <c r="BZ42" s="10"/>
      <c r="CA42" s="10"/>
      <c r="CB42" s="10">
        <f t="shared" si="110"/>
        <v>0</v>
      </c>
      <c r="CC42" s="10"/>
      <c r="CD42" s="10"/>
      <c r="CE42" s="10">
        <f t="shared" si="111"/>
        <v>0</v>
      </c>
      <c r="CF42" s="10"/>
      <c r="CG42" s="10"/>
      <c r="CH42" s="10">
        <f t="shared" si="96"/>
        <v>0</v>
      </c>
      <c r="CI42" s="10"/>
      <c r="CJ42" s="10"/>
      <c r="CK42" s="10">
        <f t="shared" si="97"/>
        <v>0</v>
      </c>
      <c r="CL42" s="10"/>
      <c r="CM42" s="10"/>
      <c r="CN42" s="10">
        <f t="shared" si="98"/>
        <v>0</v>
      </c>
      <c r="CO42" s="10"/>
      <c r="CP42" s="10"/>
      <c r="CQ42" s="10">
        <f t="shared" si="99"/>
        <v>0</v>
      </c>
      <c r="CR42" s="10"/>
      <c r="CS42" s="10"/>
      <c r="CT42" s="10">
        <f t="shared" si="100"/>
        <v>0</v>
      </c>
      <c r="CU42" s="10">
        <f t="shared" si="112"/>
        <v>0</v>
      </c>
      <c r="CV42" s="2"/>
      <c r="CW42" s="2"/>
      <c r="CX42" s="2"/>
      <c r="CY42" s="2"/>
      <c r="CZ42" s="2"/>
      <c r="DA42" s="2"/>
      <c r="DB42" s="2"/>
      <c r="DC42" s="2"/>
      <c r="DD42" s="2"/>
    </row>
    <row r="43" spans="1:108" x14ac:dyDescent="0.25">
      <c r="A43" s="10" t="s">
        <v>19</v>
      </c>
      <c r="B43" s="10">
        <v>18</v>
      </c>
      <c r="C43" s="10" t="s">
        <v>16</v>
      </c>
      <c r="D43" s="11">
        <v>0.49383730484798688</v>
      </c>
      <c r="E43" s="11">
        <v>0.50616269515201318</v>
      </c>
      <c r="F43" s="28"/>
      <c r="G43" s="29"/>
      <c r="H43" s="10">
        <f t="shared" si="70"/>
        <v>0</v>
      </c>
      <c r="I43" s="10"/>
      <c r="J43" s="10"/>
      <c r="K43" s="10">
        <f t="shared" si="71"/>
        <v>0</v>
      </c>
      <c r="L43" s="10"/>
      <c r="M43" s="10"/>
      <c r="N43" s="10">
        <f t="shared" si="101"/>
        <v>0</v>
      </c>
      <c r="O43" s="10"/>
      <c r="P43" s="10"/>
      <c r="Q43" s="10">
        <f t="shared" si="102"/>
        <v>0</v>
      </c>
      <c r="R43" s="10"/>
      <c r="S43" s="10"/>
      <c r="T43" s="10">
        <f t="shared" si="103"/>
        <v>0</v>
      </c>
      <c r="U43" s="10"/>
      <c r="V43" s="10"/>
      <c r="W43" s="10">
        <f t="shared" si="75"/>
        <v>0</v>
      </c>
      <c r="X43" s="10"/>
      <c r="Y43" s="10"/>
      <c r="Z43" s="10">
        <f t="shared" si="104"/>
        <v>0</v>
      </c>
      <c r="AA43" s="10"/>
      <c r="AB43" s="10"/>
      <c r="AC43" s="10">
        <f t="shared" si="105"/>
        <v>0</v>
      </c>
      <c r="AD43" s="10"/>
      <c r="AE43" s="10"/>
      <c r="AF43" s="10">
        <f t="shared" si="78"/>
        <v>0</v>
      </c>
      <c r="AG43" s="10"/>
      <c r="AH43" s="10"/>
      <c r="AI43" s="10">
        <f t="shared" si="106"/>
        <v>0</v>
      </c>
      <c r="AJ43" s="10"/>
      <c r="AK43" s="10"/>
      <c r="AL43" s="10">
        <f t="shared" si="107"/>
        <v>0</v>
      </c>
      <c r="AM43" s="10"/>
      <c r="AN43" s="10"/>
      <c r="AO43" s="10">
        <f t="shared" si="108"/>
        <v>0</v>
      </c>
      <c r="AP43" s="10"/>
      <c r="AQ43" s="10"/>
      <c r="AR43" s="10">
        <f t="shared" si="82"/>
        <v>0</v>
      </c>
      <c r="AS43" s="10"/>
      <c r="AT43" s="10"/>
      <c r="AU43" s="10">
        <f t="shared" si="83"/>
        <v>0</v>
      </c>
      <c r="AV43" s="10"/>
      <c r="AW43" s="10"/>
      <c r="AX43" s="10">
        <f t="shared" si="84"/>
        <v>0</v>
      </c>
      <c r="AY43" s="10"/>
      <c r="AZ43" s="10"/>
      <c r="BA43" s="10">
        <f t="shared" si="85"/>
        <v>0</v>
      </c>
      <c r="BB43" s="10">
        <v>4</v>
      </c>
      <c r="BC43" s="10"/>
      <c r="BD43" s="10">
        <f t="shared" si="86"/>
        <v>4</v>
      </c>
      <c r="BE43" s="10">
        <v>7</v>
      </c>
      <c r="BF43" s="10"/>
      <c r="BG43" s="10">
        <f t="shared" si="87"/>
        <v>7</v>
      </c>
      <c r="BH43" s="10">
        <v>12</v>
      </c>
      <c r="BI43" s="10"/>
      <c r="BJ43" s="10">
        <f t="shared" si="88"/>
        <v>12</v>
      </c>
      <c r="BK43" s="10">
        <v>7</v>
      </c>
      <c r="BL43" s="10"/>
      <c r="BM43" s="10">
        <f t="shared" si="89"/>
        <v>7</v>
      </c>
      <c r="BN43" s="10">
        <v>8</v>
      </c>
      <c r="BO43" s="10"/>
      <c r="BP43" s="10">
        <f t="shared" si="90"/>
        <v>8</v>
      </c>
      <c r="BQ43" s="10">
        <v>8</v>
      </c>
      <c r="BR43" s="10"/>
      <c r="BS43" s="10">
        <f t="shared" si="91"/>
        <v>8</v>
      </c>
      <c r="BT43" s="10">
        <v>12</v>
      </c>
      <c r="BU43" s="10"/>
      <c r="BV43" s="10">
        <f t="shared" si="92"/>
        <v>12</v>
      </c>
      <c r="BW43" s="10">
        <v>10</v>
      </c>
      <c r="BX43" s="10"/>
      <c r="BY43" s="10">
        <f t="shared" si="109"/>
        <v>10</v>
      </c>
      <c r="BZ43" s="10">
        <v>5</v>
      </c>
      <c r="CA43" s="10"/>
      <c r="CB43" s="10">
        <f t="shared" si="110"/>
        <v>5</v>
      </c>
      <c r="CC43" s="10">
        <v>11</v>
      </c>
      <c r="CD43" s="10"/>
      <c r="CE43" s="10">
        <f t="shared" si="111"/>
        <v>11</v>
      </c>
      <c r="CF43" s="10">
        <v>11</v>
      </c>
      <c r="CG43" s="10"/>
      <c r="CH43" s="10">
        <f t="shared" si="96"/>
        <v>11</v>
      </c>
      <c r="CI43" s="10">
        <v>10</v>
      </c>
      <c r="CJ43" s="10"/>
      <c r="CK43" s="10">
        <f t="shared" si="97"/>
        <v>10</v>
      </c>
      <c r="CL43" s="10">
        <v>11</v>
      </c>
      <c r="CM43" s="10"/>
      <c r="CN43" s="10">
        <f t="shared" si="98"/>
        <v>11</v>
      </c>
      <c r="CO43" s="10">
        <v>9</v>
      </c>
      <c r="CP43" s="10"/>
      <c r="CQ43" s="10">
        <f t="shared" si="99"/>
        <v>9</v>
      </c>
      <c r="CR43" s="10">
        <v>13</v>
      </c>
      <c r="CS43" s="10"/>
      <c r="CT43" s="10">
        <f t="shared" si="100"/>
        <v>13</v>
      </c>
      <c r="CU43" s="10">
        <f t="shared" si="112"/>
        <v>138</v>
      </c>
      <c r="CV43" s="2"/>
      <c r="CW43" s="2"/>
      <c r="CX43" s="2"/>
      <c r="CY43" s="2"/>
      <c r="CZ43" s="2"/>
      <c r="DA43" s="2"/>
      <c r="DB43" s="2"/>
      <c r="DC43" s="2"/>
      <c r="DD43" s="2"/>
    </row>
    <row r="44" spans="1:108" x14ac:dyDescent="0.25">
      <c r="A44" s="10" t="s">
        <v>20</v>
      </c>
      <c r="B44" s="10">
        <v>9</v>
      </c>
      <c r="C44" s="10" t="s">
        <v>16</v>
      </c>
      <c r="D44" s="11">
        <v>0.77163461538461542</v>
      </c>
      <c r="E44" s="11">
        <v>0.22836538461538461</v>
      </c>
      <c r="F44" s="28">
        <v>6</v>
      </c>
      <c r="G44" s="29"/>
      <c r="H44" s="10">
        <f t="shared" si="70"/>
        <v>6</v>
      </c>
      <c r="I44" s="10">
        <v>4</v>
      </c>
      <c r="J44" s="10"/>
      <c r="K44" s="10">
        <f t="shared" si="71"/>
        <v>4</v>
      </c>
      <c r="L44" s="10">
        <v>1</v>
      </c>
      <c r="M44" s="10"/>
      <c r="N44" s="10">
        <f t="shared" si="101"/>
        <v>1</v>
      </c>
      <c r="O44" s="10">
        <v>5</v>
      </c>
      <c r="P44" s="10"/>
      <c r="Q44" s="10">
        <f t="shared" si="102"/>
        <v>5</v>
      </c>
      <c r="R44" s="10">
        <v>2</v>
      </c>
      <c r="S44" s="10"/>
      <c r="T44" s="10">
        <f t="shared" si="103"/>
        <v>2</v>
      </c>
      <c r="U44" s="10">
        <v>2</v>
      </c>
      <c r="V44" s="10"/>
      <c r="W44" s="10">
        <f t="shared" si="75"/>
        <v>2</v>
      </c>
      <c r="X44" s="10">
        <v>1</v>
      </c>
      <c r="Y44" s="10"/>
      <c r="Z44" s="10">
        <f t="shared" si="104"/>
        <v>1</v>
      </c>
      <c r="AA44" s="10">
        <v>1</v>
      </c>
      <c r="AB44" s="10"/>
      <c r="AC44" s="10">
        <f t="shared" si="105"/>
        <v>1</v>
      </c>
      <c r="AD44" s="10">
        <v>2</v>
      </c>
      <c r="AE44" s="10"/>
      <c r="AF44" s="10">
        <f t="shared" si="78"/>
        <v>1</v>
      </c>
      <c r="AG44" s="10">
        <v>2</v>
      </c>
      <c r="AH44" s="10"/>
      <c r="AI44" s="10">
        <f t="shared" si="106"/>
        <v>2</v>
      </c>
      <c r="AJ44" s="10">
        <v>0</v>
      </c>
      <c r="AK44" s="10"/>
      <c r="AL44" s="10">
        <f t="shared" si="107"/>
        <v>0</v>
      </c>
      <c r="AM44" s="10">
        <v>6</v>
      </c>
      <c r="AN44" s="10"/>
      <c r="AO44" s="10">
        <f t="shared" si="108"/>
        <v>6</v>
      </c>
      <c r="AP44" s="10">
        <v>3</v>
      </c>
      <c r="AQ44" s="10"/>
      <c r="AR44" s="10">
        <f t="shared" si="82"/>
        <v>3</v>
      </c>
      <c r="AS44" s="10">
        <v>1</v>
      </c>
      <c r="AT44" s="10"/>
      <c r="AU44" s="10">
        <f t="shared" si="83"/>
        <v>1</v>
      </c>
      <c r="AV44" s="10">
        <v>5</v>
      </c>
      <c r="AW44" s="10"/>
      <c r="AX44" s="10">
        <f t="shared" si="84"/>
        <v>5</v>
      </c>
      <c r="AY44" s="10">
        <v>2</v>
      </c>
      <c r="AZ44" s="10"/>
      <c r="BA44" s="10">
        <f t="shared" si="85"/>
        <v>2</v>
      </c>
      <c r="BB44" s="10">
        <v>3</v>
      </c>
      <c r="BC44" s="10"/>
      <c r="BD44" s="10">
        <f t="shared" si="86"/>
        <v>3</v>
      </c>
      <c r="BE44" s="10">
        <v>3</v>
      </c>
      <c r="BF44" s="10"/>
      <c r="BG44" s="10">
        <f t="shared" si="87"/>
        <v>3</v>
      </c>
      <c r="BH44" s="10">
        <v>1</v>
      </c>
      <c r="BI44" s="10"/>
      <c r="BJ44" s="10">
        <f t="shared" si="88"/>
        <v>1</v>
      </c>
      <c r="BK44" s="10">
        <v>2</v>
      </c>
      <c r="BL44" s="10"/>
      <c r="BM44" s="10">
        <f t="shared" si="89"/>
        <v>2</v>
      </c>
      <c r="BN44" s="10">
        <v>3</v>
      </c>
      <c r="BO44" s="10"/>
      <c r="BP44" s="10">
        <f t="shared" si="90"/>
        <v>3</v>
      </c>
      <c r="BQ44" s="10">
        <v>1</v>
      </c>
      <c r="BR44" s="10"/>
      <c r="BS44" s="10">
        <f t="shared" si="91"/>
        <v>1</v>
      </c>
      <c r="BT44" s="10">
        <v>1</v>
      </c>
      <c r="BU44" s="10"/>
      <c r="BV44" s="10">
        <f t="shared" si="92"/>
        <v>1</v>
      </c>
      <c r="BW44" s="10">
        <v>4</v>
      </c>
      <c r="BX44" s="10"/>
      <c r="BY44" s="10">
        <f t="shared" si="109"/>
        <v>4</v>
      </c>
      <c r="BZ44" s="10">
        <v>1</v>
      </c>
      <c r="CA44" s="10"/>
      <c r="CB44" s="10">
        <f t="shared" si="110"/>
        <v>1</v>
      </c>
      <c r="CC44" s="10">
        <v>1</v>
      </c>
      <c r="CD44" s="10"/>
      <c r="CE44" s="10">
        <f t="shared" si="111"/>
        <v>1</v>
      </c>
      <c r="CF44" s="10">
        <v>3</v>
      </c>
      <c r="CG44" s="10"/>
      <c r="CH44" s="10">
        <f t="shared" si="96"/>
        <v>3</v>
      </c>
      <c r="CI44" s="10">
        <v>6</v>
      </c>
      <c r="CJ44" s="10"/>
      <c r="CK44" s="10">
        <f t="shared" si="97"/>
        <v>6</v>
      </c>
      <c r="CL44" s="10">
        <v>2</v>
      </c>
      <c r="CM44" s="10"/>
      <c r="CN44" s="10">
        <f t="shared" si="98"/>
        <v>2</v>
      </c>
      <c r="CO44" s="10">
        <v>6</v>
      </c>
      <c r="CP44" s="10"/>
      <c r="CQ44" s="10">
        <f t="shared" si="99"/>
        <v>6</v>
      </c>
      <c r="CR44" s="10">
        <v>3</v>
      </c>
      <c r="CS44" s="10"/>
      <c r="CT44" s="10">
        <f t="shared" si="100"/>
        <v>3</v>
      </c>
      <c r="CU44" s="10">
        <f t="shared" si="112"/>
        <v>82</v>
      </c>
      <c r="CV44" s="2"/>
      <c r="CW44" s="2"/>
      <c r="CX44" s="2"/>
      <c r="CY44" s="2"/>
      <c r="CZ44" s="2"/>
      <c r="DA44" s="2"/>
      <c r="DB44" s="2"/>
      <c r="DC44" s="2"/>
      <c r="DD44" s="2"/>
    </row>
    <row r="45" spans="1:108" x14ac:dyDescent="0.25">
      <c r="A45" s="10" t="s">
        <v>21</v>
      </c>
      <c r="B45" s="10">
        <v>29</v>
      </c>
      <c r="C45" s="10" t="s">
        <v>16</v>
      </c>
      <c r="D45" s="11">
        <v>0.55608028335301063</v>
      </c>
      <c r="E45" s="11">
        <v>0.44391971664698937</v>
      </c>
      <c r="F45" s="28"/>
      <c r="G45" s="29"/>
      <c r="H45" s="10">
        <f t="shared" si="70"/>
        <v>0</v>
      </c>
      <c r="I45" s="10"/>
      <c r="J45" s="10"/>
      <c r="K45" s="10">
        <f t="shared" si="71"/>
        <v>0</v>
      </c>
      <c r="L45" s="10">
        <v>0</v>
      </c>
      <c r="M45" s="10"/>
      <c r="N45" s="10">
        <f t="shared" si="101"/>
        <v>0</v>
      </c>
      <c r="O45" s="10">
        <v>2</v>
      </c>
      <c r="P45" s="10"/>
      <c r="Q45" s="10">
        <f t="shared" si="102"/>
        <v>2</v>
      </c>
      <c r="R45" s="10">
        <v>1</v>
      </c>
      <c r="S45" s="10"/>
      <c r="T45" s="10">
        <f t="shared" si="103"/>
        <v>1</v>
      </c>
      <c r="U45" s="10"/>
      <c r="V45" s="10"/>
      <c r="W45" s="10">
        <f t="shared" si="75"/>
        <v>0</v>
      </c>
      <c r="X45" s="10">
        <v>2</v>
      </c>
      <c r="Y45" s="10"/>
      <c r="Z45" s="10">
        <f t="shared" si="104"/>
        <v>2</v>
      </c>
      <c r="AA45" s="10">
        <v>2</v>
      </c>
      <c r="AB45" s="10"/>
      <c r="AC45" s="10">
        <f t="shared" si="105"/>
        <v>2</v>
      </c>
      <c r="AD45" s="10">
        <v>2</v>
      </c>
      <c r="AE45" s="10"/>
      <c r="AF45" s="10">
        <f t="shared" si="78"/>
        <v>2</v>
      </c>
      <c r="AG45" s="10">
        <v>0</v>
      </c>
      <c r="AH45" s="10"/>
      <c r="AI45" s="10">
        <f t="shared" si="106"/>
        <v>0</v>
      </c>
      <c r="AJ45" s="10">
        <v>0</v>
      </c>
      <c r="AK45" s="10"/>
      <c r="AL45" s="10">
        <f t="shared" si="107"/>
        <v>0</v>
      </c>
      <c r="AM45" s="10">
        <v>4</v>
      </c>
      <c r="AN45" s="10"/>
      <c r="AO45" s="10">
        <f t="shared" si="108"/>
        <v>4</v>
      </c>
      <c r="AP45" s="10">
        <v>1</v>
      </c>
      <c r="AQ45" s="10"/>
      <c r="AR45" s="10">
        <f t="shared" si="82"/>
        <v>1</v>
      </c>
      <c r="AS45" s="10">
        <v>3</v>
      </c>
      <c r="AT45" s="10"/>
      <c r="AU45" s="10">
        <f t="shared" si="83"/>
        <v>3</v>
      </c>
      <c r="AV45" s="10">
        <v>2</v>
      </c>
      <c r="AW45" s="10"/>
      <c r="AX45" s="10">
        <f t="shared" si="84"/>
        <v>2</v>
      </c>
      <c r="AY45" s="10">
        <v>2</v>
      </c>
      <c r="AZ45" s="10"/>
      <c r="BA45" s="10">
        <f t="shared" si="85"/>
        <v>2</v>
      </c>
      <c r="BB45" s="10">
        <v>2</v>
      </c>
      <c r="BC45" s="10"/>
      <c r="BD45" s="10">
        <f t="shared" si="86"/>
        <v>2</v>
      </c>
      <c r="BE45" s="10">
        <v>2</v>
      </c>
      <c r="BF45" s="10"/>
      <c r="BG45" s="10">
        <f t="shared" si="87"/>
        <v>2</v>
      </c>
      <c r="BH45" s="10">
        <v>2</v>
      </c>
      <c r="BI45" s="10"/>
      <c r="BJ45" s="10">
        <f t="shared" si="88"/>
        <v>2</v>
      </c>
      <c r="BK45" s="10">
        <v>3</v>
      </c>
      <c r="BL45" s="10"/>
      <c r="BM45" s="10">
        <f t="shared" si="89"/>
        <v>3</v>
      </c>
      <c r="BN45" s="10">
        <v>3</v>
      </c>
      <c r="BO45" s="10"/>
      <c r="BP45" s="10">
        <f t="shared" si="90"/>
        <v>3</v>
      </c>
      <c r="BQ45" s="10">
        <v>1</v>
      </c>
      <c r="BR45" s="10"/>
      <c r="BS45" s="10">
        <f t="shared" si="91"/>
        <v>1</v>
      </c>
      <c r="BT45" s="10"/>
      <c r="BU45" s="10"/>
      <c r="BV45" s="10">
        <f t="shared" si="92"/>
        <v>0</v>
      </c>
      <c r="BW45" s="10"/>
      <c r="BX45" s="10"/>
      <c r="BY45" s="10">
        <f t="shared" si="109"/>
        <v>0</v>
      </c>
      <c r="BZ45" s="10"/>
      <c r="CA45" s="10"/>
      <c r="CB45" s="10">
        <f t="shared" si="110"/>
        <v>0</v>
      </c>
      <c r="CC45" s="10"/>
      <c r="CD45" s="10"/>
      <c r="CE45" s="10">
        <f t="shared" si="111"/>
        <v>0</v>
      </c>
      <c r="CF45" s="10"/>
      <c r="CG45" s="10"/>
      <c r="CH45" s="10">
        <f t="shared" si="96"/>
        <v>0</v>
      </c>
      <c r="CI45" s="10"/>
      <c r="CJ45" s="10"/>
      <c r="CK45" s="10">
        <f t="shared" si="97"/>
        <v>0</v>
      </c>
      <c r="CL45" s="10"/>
      <c r="CM45" s="10"/>
      <c r="CN45" s="10">
        <f t="shared" si="98"/>
        <v>0</v>
      </c>
      <c r="CO45" s="10"/>
      <c r="CP45" s="10"/>
      <c r="CQ45" s="10">
        <f t="shared" si="99"/>
        <v>0</v>
      </c>
      <c r="CR45" s="10"/>
      <c r="CS45" s="10"/>
      <c r="CT45" s="10">
        <f t="shared" si="100"/>
        <v>0</v>
      </c>
      <c r="CU45" s="10">
        <f t="shared" si="112"/>
        <v>34</v>
      </c>
      <c r="CV45" s="2"/>
      <c r="CW45" s="2"/>
      <c r="CX45" s="2"/>
      <c r="CY45" s="2"/>
      <c r="CZ45" s="2"/>
      <c r="DA45" s="2"/>
      <c r="DB45" s="2"/>
      <c r="DC45" s="2"/>
      <c r="DD45" s="2"/>
    </row>
    <row r="46" spans="1:108" x14ac:dyDescent="0.25">
      <c r="A46" s="10" t="s">
        <v>22</v>
      </c>
      <c r="B46" s="10">
        <v>0</v>
      </c>
      <c r="C46" s="10" t="s">
        <v>16</v>
      </c>
      <c r="D46" s="11">
        <v>0.11764705882352941</v>
      </c>
      <c r="E46" s="11">
        <v>0.88235294117647056</v>
      </c>
      <c r="F46" s="28"/>
      <c r="G46" s="29"/>
      <c r="H46" s="10">
        <f t="shared" si="70"/>
        <v>0</v>
      </c>
      <c r="I46" s="10"/>
      <c r="J46" s="10"/>
      <c r="K46" s="10">
        <f t="shared" si="71"/>
        <v>0</v>
      </c>
      <c r="L46" s="10"/>
      <c r="M46" s="10"/>
      <c r="N46" s="10">
        <f t="shared" si="101"/>
        <v>0</v>
      </c>
      <c r="O46" s="10"/>
      <c r="P46" s="10"/>
      <c r="Q46" s="10">
        <f t="shared" si="102"/>
        <v>0</v>
      </c>
      <c r="R46" s="10"/>
      <c r="S46" s="10"/>
      <c r="T46" s="10">
        <f t="shared" si="103"/>
        <v>0</v>
      </c>
      <c r="U46" s="10"/>
      <c r="V46" s="10"/>
      <c r="W46" s="10">
        <f t="shared" si="75"/>
        <v>0</v>
      </c>
      <c r="X46" s="10"/>
      <c r="Y46" s="10"/>
      <c r="Z46" s="10">
        <f t="shared" si="104"/>
        <v>0</v>
      </c>
      <c r="AA46" s="10"/>
      <c r="AB46" s="10"/>
      <c r="AC46" s="10">
        <f t="shared" si="105"/>
        <v>0</v>
      </c>
      <c r="AD46" s="10"/>
      <c r="AE46" s="10"/>
      <c r="AF46" s="10">
        <f t="shared" si="78"/>
        <v>0</v>
      </c>
      <c r="AG46" s="10"/>
      <c r="AH46" s="10"/>
      <c r="AI46" s="10">
        <f t="shared" si="106"/>
        <v>0</v>
      </c>
      <c r="AJ46" s="10"/>
      <c r="AK46" s="10"/>
      <c r="AL46" s="10">
        <f t="shared" si="107"/>
        <v>0</v>
      </c>
      <c r="AM46" s="10"/>
      <c r="AN46" s="10"/>
      <c r="AO46" s="10">
        <f t="shared" si="108"/>
        <v>0</v>
      </c>
      <c r="AP46" s="10"/>
      <c r="AQ46" s="10"/>
      <c r="AR46" s="10">
        <f t="shared" si="82"/>
        <v>0</v>
      </c>
      <c r="AS46" s="10"/>
      <c r="AT46" s="10"/>
      <c r="AU46" s="10">
        <f t="shared" si="83"/>
        <v>0</v>
      </c>
      <c r="AV46" s="10"/>
      <c r="AW46" s="10"/>
      <c r="AX46" s="10">
        <f t="shared" si="84"/>
        <v>0</v>
      </c>
      <c r="AY46" s="10"/>
      <c r="AZ46" s="10"/>
      <c r="BA46" s="10">
        <f t="shared" si="85"/>
        <v>0</v>
      </c>
      <c r="BB46" s="10"/>
      <c r="BC46" s="10"/>
      <c r="BD46" s="10">
        <f t="shared" si="86"/>
        <v>0</v>
      </c>
      <c r="BE46" s="10"/>
      <c r="BF46" s="10"/>
      <c r="BG46" s="10">
        <f t="shared" si="87"/>
        <v>0</v>
      </c>
      <c r="BH46" s="10"/>
      <c r="BI46" s="10"/>
      <c r="BJ46" s="10">
        <f t="shared" si="88"/>
        <v>0</v>
      </c>
      <c r="BK46" s="10"/>
      <c r="BL46" s="10"/>
      <c r="BM46" s="10">
        <f t="shared" si="89"/>
        <v>0</v>
      </c>
      <c r="BN46" s="10"/>
      <c r="BO46" s="10"/>
      <c r="BP46" s="10">
        <f t="shared" si="90"/>
        <v>0</v>
      </c>
      <c r="BQ46" s="10"/>
      <c r="BR46" s="10"/>
      <c r="BS46" s="10">
        <f t="shared" si="91"/>
        <v>0</v>
      </c>
      <c r="BT46" s="10"/>
      <c r="BU46" s="10"/>
      <c r="BV46" s="10">
        <f t="shared" si="92"/>
        <v>0</v>
      </c>
      <c r="BW46" s="10"/>
      <c r="BX46" s="10"/>
      <c r="BY46" s="10">
        <f t="shared" si="109"/>
        <v>0</v>
      </c>
      <c r="BZ46" s="10"/>
      <c r="CA46" s="10"/>
      <c r="CB46" s="10">
        <f t="shared" si="110"/>
        <v>0</v>
      </c>
      <c r="CC46" s="10"/>
      <c r="CD46" s="10"/>
      <c r="CE46" s="10">
        <f t="shared" si="111"/>
        <v>0</v>
      </c>
      <c r="CF46" s="10"/>
      <c r="CG46" s="10"/>
      <c r="CH46" s="10">
        <f t="shared" si="96"/>
        <v>0</v>
      </c>
      <c r="CI46" s="10"/>
      <c r="CJ46" s="10"/>
      <c r="CK46" s="10">
        <f t="shared" si="97"/>
        <v>0</v>
      </c>
      <c r="CL46" s="10"/>
      <c r="CM46" s="10"/>
      <c r="CN46" s="10">
        <f t="shared" si="98"/>
        <v>0</v>
      </c>
      <c r="CO46" s="10"/>
      <c r="CP46" s="10"/>
      <c r="CQ46" s="10">
        <f t="shared" si="99"/>
        <v>0</v>
      </c>
      <c r="CR46" s="10"/>
      <c r="CS46" s="10"/>
      <c r="CT46" s="10">
        <f t="shared" si="100"/>
        <v>0</v>
      </c>
      <c r="CU46" s="10">
        <f t="shared" si="112"/>
        <v>0</v>
      </c>
      <c r="CV46" s="2"/>
      <c r="CW46" s="2"/>
      <c r="CX46" s="2"/>
      <c r="CY46" s="2"/>
      <c r="CZ46" s="2"/>
      <c r="DA46" s="2"/>
      <c r="DB46" s="2"/>
      <c r="DC46" s="2"/>
      <c r="DD46" s="2"/>
    </row>
    <row r="47" spans="1:108" x14ac:dyDescent="0.25">
      <c r="A47" s="10" t="s">
        <v>23</v>
      </c>
      <c r="B47" s="10">
        <v>36</v>
      </c>
      <c r="C47" s="10" t="s">
        <v>16</v>
      </c>
      <c r="D47" s="11">
        <v>0.76833696441539578</v>
      </c>
      <c r="E47" s="11">
        <v>0.23166303558460422</v>
      </c>
      <c r="F47" s="28"/>
      <c r="G47" s="29"/>
      <c r="H47" s="10">
        <f t="shared" si="70"/>
        <v>0</v>
      </c>
      <c r="I47" s="10"/>
      <c r="J47" s="10"/>
      <c r="K47" s="10">
        <f t="shared" si="71"/>
        <v>0</v>
      </c>
      <c r="L47" s="10"/>
      <c r="M47" s="10"/>
      <c r="N47" s="10">
        <f t="shared" si="101"/>
        <v>0</v>
      </c>
      <c r="O47" s="10"/>
      <c r="P47" s="10"/>
      <c r="Q47" s="10">
        <f t="shared" si="102"/>
        <v>0</v>
      </c>
      <c r="R47" s="10"/>
      <c r="S47" s="10"/>
      <c r="T47" s="10">
        <f t="shared" si="103"/>
        <v>0</v>
      </c>
      <c r="U47" s="10"/>
      <c r="V47" s="10"/>
      <c r="W47" s="10">
        <f t="shared" si="75"/>
        <v>0</v>
      </c>
      <c r="X47" s="10"/>
      <c r="Y47" s="10"/>
      <c r="Z47" s="10">
        <f t="shared" si="104"/>
        <v>0</v>
      </c>
      <c r="AA47" s="10"/>
      <c r="AB47" s="10"/>
      <c r="AC47" s="10">
        <f t="shared" si="105"/>
        <v>0</v>
      </c>
      <c r="AD47" s="10"/>
      <c r="AE47" s="10"/>
      <c r="AF47" s="10">
        <f t="shared" si="78"/>
        <v>0</v>
      </c>
      <c r="AG47" s="10"/>
      <c r="AH47" s="10"/>
      <c r="AI47" s="10">
        <f t="shared" si="106"/>
        <v>0</v>
      </c>
      <c r="AJ47" s="10"/>
      <c r="AK47" s="10"/>
      <c r="AL47" s="10">
        <f t="shared" si="107"/>
        <v>0</v>
      </c>
      <c r="AM47" s="10"/>
      <c r="AN47" s="10"/>
      <c r="AO47" s="10">
        <f t="shared" si="108"/>
        <v>0</v>
      </c>
      <c r="AP47" s="10"/>
      <c r="AQ47" s="10"/>
      <c r="AR47" s="10">
        <f t="shared" si="82"/>
        <v>0</v>
      </c>
      <c r="AS47" s="10"/>
      <c r="AT47" s="10"/>
      <c r="AU47" s="10">
        <f t="shared" si="83"/>
        <v>0</v>
      </c>
      <c r="AV47" s="10"/>
      <c r="AW47" s="10"/>
      <c r="AX47" s="10">
        <f t="shared" si="84"/>
        <v>0</v>
      </c>
      <c r="AY47" s="10"/>
      <c r="AZ47" s="10"/>
      <c r="BA47" s="10">
        <f t="shared" si="85"/>
        <v>0</v>
      </c>
      <c r="BB47" s="10"/>
      <c r="BC47" s="10"/>
      <c r="BD47" s="10">
        <f t="shared" si="86"/>
        <v>0</v>
      </c>
      <c r="BE47" s="10"/>
      <c r="BF47" s="10"/>
      <c r="BG47" s="10">
        <f t="shared" si="87"/>
        <v>0</v>
      </c>
      <c r="BH47" s="10"/>
      <c r="BI47" s="10"/>
      <c r="BJ47" s="10">
        <f t="shared" si="88"/>
        <v>0</v>
      </c>
      <c r="BK47" s="10"/>
      <c r="BL47" s="10"/>
      <c r="BM47" s="10">
        <f t="shared" si="89"/>
        <v>0</v>
      </c>
      <c r="BN47" s="10"/>
      <c r="BO47" s="10"/>
      <c r="BP47" s="10">
        <f t="shared" si="90"/>
        <v>0</v>
      </c>
      <c r="BQ47" s="10"/>
      <c r="BR47" s="10"/>
      <c r="BS47" s="10">
        <f t="shared" si="91"/>
        <v>0</v>
      </c>
      <c r="BT47" s="10"/>
      <c r="BU47" s="10"/>
      <c r="BV47" s="10">
        <f t="shared" si="92"/>
        <v>0</v>
      </c>
      <c r="BW47" s="10"/>
      <c r="BX47" s="10"/>
      <c r="BY47" s="10">
        <f t="shared" si="109"/>
        <v>0</v>
      </c>
      <c r="BZ47" s="10"/>
      <c r="CA47" s="10"/>
      <c r="CB47" s="10">
        <f t="shared" si="110"/>
        <v>0</v>
      </c>
      <c r="CC47" s="10"/>
      <c r="CD47" s="10"/>
      <c r="CE47" s="10">
        <f t="shared" si="111"/>
        <v>0</v>
      </c>
      <c r="CF47" s="10"/>
      <c r="CG47" s="10"/>
      <c r="CH47" s="10">
        <f t="shared" si="96"/>
        <v>0</v>
      </c>
      <c r="CI47" s="10"/>
      <c r="CJ47" s="10"/>
      <c r="CK47" s="10">
        <f t="shared" si="97"/>
        <v>0</v>
      </c>
      <c r="CL47" s="10"/>
      <c r="CM47" s="10"/>
      <c r="CN47" s="10">
        <f t="shared" si="98"/>
        <v>0</v>
      </c>
      <c r="CO47" s="10"/>
      <c r="CP47" s="10"/>
      <c r="CQ47" s="10">
        <f t="shared" si="99"/>
        <v>0</v>
      </c>
      <c r="CR47" s="10"/>
      <c r="CS47" s="10"/>
      <c r="CT47" s="10">
        <f t="shared" si="100"/>
        <v>0</v>
      </c>
      <c r="CU47" s="10">
        <f t="shared" si="112"/>
        <v>0</v>
      </c>
      <c r="CV47" s="2"/>
      <c r="CW47" s="2"/>
      <c r="CX47" s="2"/>
      <c r="CY47" s="2"/>
      <c r="CZ47" s="2"/>
      <c r="DA47" s="2"/>
      <c r="DB47" s="2"/>
      <c r="DC47" s="2"/>
      <c r="DD47" s="2"/>
    </row>
    <row r="48" spans="1:108" x14ac:dyDescent="0.25">
      <c r="A48" s="10" t="s">
        <v>24</v>
      </c>
      <c r="B48" s="10">
        <v>6</v>
      </c>
      <c r="C48" s="10" t="s">
        <v>16</v>
      </c>
      <c r="D48" s="11">
        <v>0.41358024691358025</v>
      </c>
      <c r="E48" s="11">
        <v>0.5864197530864198</v>
      </c>
      <c r="F48" s="28"/>
      <c r="G48" s="29"/>
      <c r="H48" s="10">
        <f t="shared" si="70"/>
        <v>0</v>
      </c>
      <c r="I48" s="10"/>
      <c r="J48" s="10"/>
      <c r="K48" s="10">
        <f t="shared" si="71"/>
        <v>0</v>
      </c>
      <c r="L48" s="10"/>
      <c r="M48" s="10"/>
      <c r="N48" s="10">
        <f t="shared" si="101"/>
        <v>0</v>
      </c>
      <c r="O48" s="10"/>
      <c r="P48" s="10"/>
      <c r="Q48" s="10">
        <f t="shared" si="102"/>
        <v>0</v>
      </c>
      <c r="R48" s="10"/>
      <c r="S48" s="10"/>
      <c r="T48" s="10">
        <f t="shared" si="103"/>
        <v>0</v>
      </c>
      <c r="U48" s="10"/>
      <c r="V48" s="10"/>
      <c r="W48" s="10">
        <f t="shared" si="75"/>
        <v>0</v>
      </c>
      <c r="X48" s="10"/>
      <c r="Y48" s="10"/>
      <c r="Z48" s="10">
        <f t="shared" si="104"/>
        <v>0</v>
      </c>
      <c r="AA48" s="10"/>
      <c r="AB48" s="10"/>
      <c r="AC48" s="10">
        <f t="shared" si="105"/>
        <v>0</v>
      </c>
      <c r="AD48" s="10"/>
      <c r="AE48" s="10"/>
      <c r="AF48" s="10">
        <f t="shared" si="78"/>
        <v>0</v>
      </c>
      <c r="AG48" s="10"/>
      <c r="AH48" s="10"/>
      <c r="AI48" s="10">
        <f t="shared" si="106"/>
        <v>0</v>
      </c>
      <c r="AJ48" s="10"/>
      <c r="AK48" s="10"/>
      <c r="AL48" s="10">
        <f t="shared" si="107"/>
        <v>0</v>
      </c>
      <c r="AM48" s="10"/>
      <c r="AN48" s="10"/>
      <c r="AO48" s="10">
        <f t="shared" si="108"/>
        <v>0</v>
      </c>
      <c r="AP48" s="10"/>
      <c r="AQ48" s="10"/>
      <c r="AR48" s="10">
        <f t="shared" si="82"/>
        <v>0</v>
      </c>
      <c r="AS48" s="10"/>
      <c r="AT48" s="10"/>
      <c r="AU48" s="10">
        <f t="shared" si="83"/>
        <v>0</v>
      </c>
      <c r="AV48" s="10"/>
      <c r="AW48" s="10"/>
      <c r="AX48" s="10">
        <f t="shared" si="84"/>
        <v>0</v>
      </c>
      <c r="AY48" s="10"/>
      <c r="AZ48" s="10"/>
      <c r="BA48" s="10">
        <f t="shared" si="85"/>
        <v>0</v>
      </c>
      <c r="BB48" s="10"/>
      <c r="BC48" s="10"/>
      <c r="BD48" s="10">
        <f t="shared" si="86"/>
        <v>0</v>
      </c>
      <c r="BE48" s="10"/>
      <c r="BF48" s="10"/>
      <c r="BG48" s="10">
        <f t="shared" si="87"/>
        <v>0</v>
      </c>
      <c r="BH48" s="10"/>
      <c r="BI48" s="10"/>
      <c r="BJ48" s="10">
        <f t="shared" si="88"/>
        <v>0</v>
      </c>
      <c r="BK48" s="10"/>
      <c r="BL48" s="10"/>
      <c r="BM48" s="10">
        <f t="shared" si="89"/>
        <v>0</v>
      </c>
      <c r="BN48" s="10"/>
      <c r="BO48" s="10"/>
      <c r="BP48" s="10">
        <f t="shared" si="90"/>
        <v>0</v>
      </c>
      <c r="BQ48" s="10"/>
      <c r="BR48" s="10"/>
      <c r="BS48" s="10">
        <f t="shared" si="91"/>
        <v>0</v>
      </c>
      <c r="BT48" s="10"/>
      <c r="BU48" s="10"/>
      <c r="BV48" s="10">
        <f t="shared" si="92"/>
        <v>0</v>
      </c>
      <c r="BW48" s="10"/>
      <c r="BX48" s="10"/>
      <c r="BY48" s="10">
        <f t="shared" si="109"/>
        <v>0</v>
      </c>
      <c r="BZ48" s="10"/>
      <c r="CA48" s="10"/>
      <c r="CB48" s="10">
        <f t="shared" si="110"/>
        <v>0</v>
      </c>
      <c r="CC48" s="10"/>
      <c r="CD48" s="10"/>
      <c r="CE48" s="10">
        <f t="shared" si="111"/>
        <v>0</v>
      </c>
      <c r="CF48" s="10"/>
      <c r="CG48" s="10"/>
      <c r="CH48" s="10">
        <f t="shared" si="96"/>
        <v>0</v>
      </c>
      <c r="CI48" s="10"/>
      <c r="CJ48" s="10"/>
      <c r="CK48" s="10">
        <f t="shared" si="97"/>
        <v>0</v>
      </c>
      <c r="CL48" s="10"/>
      <c r="CM48" s="10"/>
      <c r="CN48" s="10">
        <f t="shared" si="98"/>
        <v>0</v>
      </c>
      <c r="CO48" s="10"/>
      <c r="CP48" s="10"/>
      <c r="CQ48" s="10">
        <f t="shared" si="99"/>
        <v>0</v>
      </c>
      <c r="CR48" s="10"/>
      <c r="CS48" s="10"/>
      <c r="CT48" s="10">
        <f t="shared" si="100"/>
        <v>0</v>
      </c>
      <c r="CU48" s="10">
        <f t="shared" si="112"/>
        <v>0</v>
      </c>
      <c r="CV48" s="2"/>
      <c r="CW48" s="2"/>
      <c r="CX48" s="2"/>
      <c r="CY48" s="2"/>
      <c r="CZ48" s="2"/>
      <c r="DA48" s="2"/>
      <c r="DB48" s="2"/>
      <c r="DC48" s="2"/>
      <c r="DD48" s="2"/>
    </row>
    <row r="49" spans="1:108" x14ac:dyDescent="0.25">
      <c r="A49" s="10" t="s">
        <v>25</v>
      </c>
      <c r="B49" s="10">
        <v>2</v>
      </c>
      <c r="C49" s="10" t="s">
        <v>16</v>
      </c>
      <c r="D49" s="11">
        <v>0.97222222222222221</v>
      </c>
      <c r="E49" s="11">
        <v>2.7777777777777776E-2</v>
      </c>
      <c r="F49" s="28"/>
      <c r="G49" s="29"/>
      <c r="H49" s="10">
        <f t="shared" si="70"/>
        <v>0</v>
      </c>
      <c r="I49" s="10"/>
      <c r="J49" s="10"/>
      <c r="K49" s="10">
        <f t="shared" si="71"/>
        <v>0</v>
      </c>
      <c r="L49" s="10"/>
      <c r="M49" s="10"/>
      <c r="N49" s="10">
        <f t="shared" si="101"/>
        <v>0</v>
      </c>
      <c r="O49" s="10"/>
      <c r="P49" s="10"/>
      <c r="Q49" s="10">
        <f t="shared" si="102"/>
        <v>0</v>
      </c>
      <c r="R49" s="10"/>
      <c r="S49" s="10"/>
      <c r="T49" s="10">
        <f t="shared" si="103"/>
        <v>0</v>
      </c>
      <c r="U49" s="10"/>
      <c r="V49" s="10"/>
      <c r="W49" s="10">
        <f t="shared" si="75"/>
        <v>0</v>
      </c>
      <c r="X49" s="10"/>
      <c r="Y49" s="10"/>
      <c r="Z49" s="10">
        <f t="shared" si="104"/>
        <v>0</v>
      </c>
      <c r="AA49" s="10"/>
      <c r="AB49" s="10"/>
      <c r="AC49" s="10">
        <f t="shared" si="105"/>
        <v>0</v>
      </c>
      <c r="AD49" s="10"/>
      <c r="AE49" s="10"/>
      <c r="AF49" s="10">
        <f t="shared" si="78"/>
        <v>0</v>
      </c>
      <c r="AG49" s="10"/>
      <c r="AH49" s="10"/>
      <c r="AI49" s="10">
        <f t="shared" si="106"/>
        <v>0</v>
      </c>
      <c r="AJ49" s="10"/>
      <c r="AK49" s="10"/>
      <c r="AL49" s="10">
        <f t="shared" si="107"/>
        <v>0</v>
      </c>
      <c r="AM49" s="10"/>
      <c r="AN49" s="10"/>
      <c r="AO49" s="10">
        <f t="shared" si="108"/>
        <v>0</v>
      </c>
      <c r="AP49" s="10"/>
      <c r="AQ49" s="10"/>
      <c r="AR49" s="10">
        <f t="shared" si="82"/>
        <v>0</v>
      </c>
      <c r="AS49" s="10"/>
      <c r="AT49" s="10"/>
      <c r="AU49" s="10">
        <f t="shared" si="83"/>
        <v>0</v>
      </c>
      <c r="AV49" s="10"/>
      <c r="AW49" s="10"/>
      <c r="AX49" s="10">
        <f t="shared" si="84"/>
        <v>0</v>
      </c>
      <c r="AY49" s="10"/>
      <c r="AZ49" s="10"/>
      <c r="BA49" s="10">
        <f t="shared" si="85"/>
        <v>0</v>
      </c>
      <c r="BB49" s="10"/>
      <c r="BC49" s="10"/>
      <c r="BD49" s="10">
        <f t="shared" si="86"/>
        <v>0</v>
      </c>
      <c r="BE49" s="10"/>
      <c r="BF49" s="10"/>
      <c r="BG49" s="10">
        <f t="shared" si="87"/>
        <v>0</v>
      </c>
      <c r="BH49" s="10"/>
      <c r="BI49" s="10"/>
      <c r="BJ49" s="10">
        <f t="shared" si="88"/>
        <v>0</v>
      </c>
      <c r="BK49" s="10"/>
      <c r="BL49" s="10"/>
      <c r="BM49" s="10">
        <f t="shared" si="89"/>
        <v>0</v>
      </c>
      <c r="BN49" s="10"/>
      <c r="BO49" s="10"/>
      <c r="BP49" s="10">
        <f t="shared" si="90"/>
        <v>0</v>
      </c>
      <c r="BQ49" s="10"/>
      <c r="BR49" s="10"/>
      <c r="BS49" s="10">
        <f t="shared" si="91"/>
        <v>0</v>
      </c>
      <c r="BT49" s="10"/>
      <c r="BU49" s="10"/>
      <c r="BV49" s="10">
        <f t="shared" si="92"/>
        <v>0</v>
      </c>
      <c r="BW49" s="10"/>
      <c r="BX49" s="10"/>
      <c r="BY49" s="10">
        <f t="shared" si="109"/>
        <v>0</v>
      </c>
      <c r="BZ49" s="10"/>
      <c r="CA49" s="10"/>
      <c r="CB49" s="10">
        <f t="shared" si="110"/>
        <v>0</v>
      </c>
      <c r="CC49" s="10"/>
      <c r="CD49" s="10"/>
      <c r="CE49" s="10">
        <f t="shared" si="111"/>
        <v>0</v>
      </c>
      <c r="CF49" s="10"/>
      <c r="CG49" s="10"/>
      <c r="CH49" s="10">
        <f t="shared" si="96"/>
        <v>0</v>
      </c>
      <c r="CI49" s="10"/>
      <c r="CJ49" s="10"/>
      <c r="CK49" s="10">
        <f t="shared" si="97"/>
        <v>0</v>
      </c>
      <c r="CL49" s="10"/>
      <c r="CM49" s="10"/>
      <c r="CN49" s="10">
        <f t="shared" si="98"/>
        <v>0</v>
      </c>
      <c r="CO49" s="10"/>
      <c r="CP49" s="10"/>
      <c r="CQ49" s="10">
        <f t="shared" si="99"/>
        <v>0</v>
      </c>
      <c r="CR49" s="10"/>
      <c r="CS49" s="10"/>
      <c r="CT49" s="10">
        <f t="shared" si="100"/>
        <v>0</v>
      </c>
      <c r="CU49" s="10">
        <f t="shared" si="112"/>
        <v>0</v>
      </c>
      <c r="CV49" s="2"/>
      <c r="CW49" s="2"/>
      <c r="CX49" s="2"/>
      <c r="CY49" s="2"/>
      <c r="CZ49" s="2"/>
      <c r="DA49" s="2"/>
      <c r="DB49" s="2"/>
      <c r="DC49" s="2"/>
      <c r="DD49" s="2"/>
    </row>
    <row r="50" spans="1:108" x14ac:dyDescent="0.25">
      <c r="A50" s="10" t="s">
        <v>26</v>
      </c>
      <c r="B50" s="10">
        <v>6</v>
      </c>
      <c r="C50" s="10" t="s">
        <v>16</v>
      </c>
      <c r="D50" s="11">
        <v>0.86315789473684212</v>
      </c>
      <c r="E50" s="11">
        <v>0.1368421052631579</v>
      </c>
      <c r="F50" s="28"/>
      <c r="G50" s="31"/>
      <c r="H50" s="10">
        <f t="shared" si="70"/>
        <v>0</v>
      </c>
      <c r="I50" s="10"/>
      <c r="J50" s="10"/>
      <c r="K50" s="10">
        <f t="shared" si="71"/>
        <v>0</v>
      </c>
      <c r="L50" s="10"/>
      <c r="M50" s="10"/>
      <c r="N50" s="10">
        <f t="shared" si="101"/>
        <v>0</v>
      </c>
      <c r="O50" s="10"/>
      <c r="P50" s="10"/>
      <c r="Q50" s="10">
        <f t="shared" si="102"/>
        <v>0</v>
      </c>
      <c r="R50" s="10"/>
      <c r="S50" s="10"/>
      <c r="T50" s="10">
        <f t="shared" si="103"/>
        <v>0</v>
      </c>
      <c r="U50" s="10"/>
      <c r="V50" s="10"/>
      <c r="W50" s="10">
        <f t="shared" si="75"/>
        <v>0</v>
      </c>
      <c r="X50" s="10"/>
      <c r="Y50" s="10"/>
      <c r="Z50" s="10">
        <f t="shared" si="104"/>
        <v>0</v>
      </c>
      <c r="AA50" s="10"/>
      <c r="AB50" s="10"/>
      <c r="AC50" s="10">
        <f t="shared" si="105"/>
        <v>0</v>
      </c>
      <c r="AD50" s="10"/>
      <c r="AE50" s="10"/>
      <c r="AF50" s="10">
        <f t="shared" si="78"/>
        <v>0</v>
      </c>
      <c r="AG50" s="10"/>
      <c r="AH50" s="10"/>
      <c r="AI50" s="10">
        <f t="shared" si="106"/>
        <v>0</v>
      </c>
      <c r="AJ50" s="10"/>
      <c r="AK50" s="10"/>
      <c r="AL50" s="10">
        <f t="shared" si="107"/>
        <v>0</v>
      </c>
      <c r="AM50" s="10"/>
      <c r="AN50" s="10"/>
      <c r="AO50" s="10">
        <f t="shared" si="108"/>
        <v>0</v>
      </c>
      <c r="AP50" s="10"/>
      <c r="AQ50" s="10"/>
      <c r="AR50" s="10">
        <f t="shared" si="82"/>
        <v>0</v>
      </c>
      <c r="AS50" s="10"/>
      <c r="AT50" s="10"/>
      <c r="AU50" s="10">
        <f t="shared" si="83"/>
        <v>0</v>
      </c>
      <c r="AV50" s="10"/>
      <c r="AW50" s="10"/>
      <c r="AX50" s="10">
        <f t="shared" si="84"/>
        <v>0</v>
      </c>
      <c r="AY50" s="10"/>
      <c r="AZ50" s="10"/>
      <c r="BA50" s="10">
        <f t="shared" si="85"/>
        <v>0</v>
      </c>
      <c r="BB50" s="10">
        <v>7</v>
      </c>
      <c r="BC50" s="10"/>
      <c r="BD50" s="10">
        <f t="shared" si="86"/>
        <v>7</v>
      </c>
      <c r="BE50" s="10">
        <v>4</v>
      </c>
      <c r="BF50" s="10"/>
      <c r="BG50" s="10">
        <f t="shared" si="87"/>
        <v>4</v>
      </c>
      <c r="BH50" s="10">
        <v>4</v>
      </c>
      <c r="BI50" s="10"/>
      <c r="BJ50" s="10">
        <f t="shared" si="88"/>
        <v>4</v>
      </c>
      <c r="BK50" s="10">
        <v>3</v>
      </c>
      <c r="BL50" s="10"/>
      <c r="BM50" s="10">
        <f t="shared" si="89"/>
        <v>3</v>
      </c>
      <c r="BN50" s="10">
        <v>4</v>
      </c>
      <c r="BO50" s="10"/>
      <c r="BP50" s="10">
        <f t="shared" si="90"/>
        <v>4</v>
      </c>
      <c r="BQ50" s="10">
        <v>1</v>
      </c>
      <c r="BR50" s="10"/>
      <c r="BS50" s="10">
        <f t="shared" si="91"/>
        <v>1</v>
      </c>
      <c r="BT50" s="10">
        <v>3</v>
      </c>
      <c r="BU50" s="10"/>
      <c r="BV50" s="10">
        <f t="shared" si="92"/>
        <v>3</v>
      </c>
      <c r="BW50" s="10">
        <v>1</v>
      </c>
      <c r="BX50" s="10"/>
      <c r="BY50" s="10">
        <f t="shared" si="109"/>
        <v>1</v>
      </c>
      <c r="BZ50" s="10">
        <v>2</v>
      </c>
      <c r="CA50" s="10"/>
      <c r="CB50" s="10">
        <f t="shared" si="110"/>
        <v>2</v>
      </c>
      <c r="CC50" s="10">
        <v>3</v>
      </c>
      <c r="CD50" s="10"/>
      <c r="CE50" s="10">
        <f t="shared" si="111"/>
        <v>3</v>
      </c>
      <c r="CF50" s="10">
        <v>6</v>
      </c>
      <c r="CG50" s="10"/>
      <c r="CH50" s="10">
        <f t="shared" si="96"/>
        <v>6</v>
      </c>
      <c r="CI50" s="10">
        <v>2</v>
      </c>
      <c r="CJ50" s="10"/>
      <c r="CK50" s="10">
        <f t="shared" si="97"/>
        <v>2</v>
      </c>
      <c r="CL50" s="10">
        <v>3</v>
      </c>
      <c r="CM50" s="10"/>
      <c r="CN50" s="10">
        <f t="shared" si="98"/>
        <v>3</v>
      </c>
      <c r="CO50" s="10">
        <v>4</v>
      </c>
      <c r="CP50" s="10"/>
      <c r="CQ50" s="10">
        <f t="shared" si="99"/>
        <v>4</v>
      </c>
      <c r="CR50" s="10">
        <v>5</v>
      </c>
      <c r="CS50" s="10"/>
      <c r="CT50" s="10">
        <f t="shared" si="100"/>
        <v>5</v>
      </c>
      <c r="CU50" s="10">
        <f t="shared" si="112"/>
        <v>52</v>
      </c>
      <c r="CV50" s="2"/>
      <c r="CW50" s="2"/>
      <c r="CX50" s="2"/>
      <c r="CY50" s="2"/>
      <c r="CZ50" s="2"/>
      <c r="DA50" s="2"/>
      <c r="DB50" s="2"/>
      <c r="DC50" s="2"/>
      <c r="DD50" s="2"/>
    </row>
    <row r="51" spans="1:108" x14ac:dyDescent="0.25">
      <c r="A51" s="10" t="s">
        <v>27</v>
      </c>
      <c r="B51" s="10">
        <v>5</v>
      </c>
      <c r="C51" s="10" t="s">
        <v>16</v>
      </c>
      <c r="D51" s="11"/>
      <c r="E51" s="11"/>
      <c r="F51" s="28"/>
      <c r="G51" s="31"/>
      <c r="H51" s="10">
        <f t="shared" si="70"/>
        <v>0</v>
      </c>
      <c r="I51" s="10"/>
      <c r="J51" s="10"/>
      <c r="K51" s="10">
        <f t="shared" si="71"/>
        <v>0</v>
      </c>
      <c r="L51" s="10"/>
      <c r="M51" s="10"/>
      <c r="N51" s="10">
        <f t="shared" si="101"/>
        <v>0</v>
      </c>
      <c r="O51" s="10"/>
      <c r="P51" s="10"/>
      <c r="Q51" s="10">
        <f t="shared" si="102"/>
        <v>0</v>
      </c>
      <c r="R51" s="10"/>
      <c r="S51" s="10"/>
      <c r="T51" s="10">
        <f t="shared" si="103"/>
        <v>0</v>
      </c>
      <c r="U51" s="10"/>
      <c r="V51" s="10"/>
      <c r="W51" s="10">
        <f t="shared" si="75"/>
        <v>0</v>
      </c>
      <c r="X51" s="10"/>
      <c r="Y51" s="10"/>
      <c r="Z51" s="10">
        <f t="shared" si="104"/>
        <v>0</v>
      </c>
      <c r="AA51" s="10"/>
      <c r="AB51" s="10"/>
      <c r="AC51" s="10">
        <f t="shared" si="105"/>
        <v>0</v>
      </c>
      <c r="AD51" s="10"/>
      <c r="AE51" s="10"/>
      <c r="AF51" s="10">
        <f t="shared" si="78"/>
        <v>0</v>
      </c>
      <c r="AG51" s="10"/>
      <c r="AH51" s="10"/>
      <c r="AI51" s="10">
        <f t="shared" si="106"/>
        <v>0</v>
      </c>
      <c r="AJ51" s="10"/>
      <c r="AK51" s="10"/>
      <c r="AL51" s="10">
        <f t="shared" si="107"/>
        <v>0</v>
      </c>
      <c r="AM51" s="10"/>
      <c r="AN51" s="10"/>
      <c r="AO51" s="10">
        <f t="shared" si="108"/>
        <v>0</v>
      </c>
      <c r="AP51" s="10"/>
      <c r="AQ51" s="10"/>
      <c r="AR51" s="10">
        <f t="shared" si="82"/>
        <v>0</v>
      </c>
      <c r="AS51" s="10"/>
      <c r="AT51" s="10"/>
      <c r="AU51" s="10">
        <f t="shared" si="83"/>
        <v>0</v>
      </c>
      <c r="AV51" s="10"/>
      <c r="AW51" s="10"/>
      <c r="AX51" s="10">
        <f t="shared" si="84"/>
        <v>0</v>
      </c>
      <c r="AY51" s="10"/>
      <c r="AZ51" s="10"/>
      <c r="BA51" s="10">
        <f t="shared" si="85"/>
        <v>0</v>
      </c>
      <c r="BB51" s="10"/>
      <c r="BC51" s="10"/>
      <c r="BD51" s="10">
        <f t="shared" si="86"/>
        <v>0</v>
      </c>
      <c r="BE51" s="10"/>
      <c r="BF51" s="10"/>
      <c r="BG51" s="10">
        <f t="shared" si="87"/>
        <v>0</v>
      </c>
      <c r="BH51" s="10"/>
      <c r="BI51" s="10"/>
      <c r="BJ51" s="10">
        <f t="shared" si="88"/>
        <v>0</v>
      </c>
      <c r="BK51" s="10"/>
      <c r="BL51" s="10"/>
      <c r="BM51" s="10">
        <f t="shared" si="89"/>
        <v>0</v>
      </c>
      <c r="BN51" s="10"/>
      <c r="BO51" s="10"/>
      <c r="BP51" s="10">
        <f t="shared" si="90"/>
        <v>0</v>
      </c>
      <c r="BQ51" s="10"/>
      <c r="BR51" s="10"/>
      <c r="BS51" s="10">
        <f t="shared" si="91"/>
        <v>0</v>
      </c>
      <c r="BT51" s="10"/>
      <c r="BU51" s="10"/>
      <c r="BV51" s="10">
        <f t="shared" si="92"/>
        <v>0</v>
      </c>
      <c r="BW51" s="10"/>
      <c r="BX51" s="10"/>
      <c r="BY51" s="10">
        <f t="shared" si="109"/>
        <v>0</v>
      </c>
      <c r="BZ51" s="10"/>
      <c r="CA51" s="10"/>
      <c r="CB51" s="10">
        <f t="shared" si="110"/>
        <v>0</v>
      </c>
      <c r="CC51" s="10"/>
      <c r="CD51" s="10"/>
      <c r="CE51" s="10">
        <f t="shared" si="111"/>
        <v>0</v>
      </c>
      <c r="CF51" s="10"/>
      <c r="CG51" s="10"/>
      <c r="CH51" s="10">
        <f t="shared" si="96"/>
        <v>0</v>
      </c>
      <c r="CI51" s="10"/>
      <c r="CJ51" s="10"/>
      <c r="CK51" s="10">
        <f t="shared" si="97"/>
        <v>0</v>
      </c>
      <c r="CL51" s="10"/>
      <c r="CM51" s="10"/>
      <c r="CN51" s="10">
        <f t="shared" si="98"/>
        <v>0</v>
      </c>
      <c r="CO51" s="10"/>
      <c r="CP51" s="10"/>
      <c r="CQ51" s="10">
        <f t="shared" si="99"/>
        <v>0</v>
      </c>
      <c r="CR51" s="10"/>
      <c r="CS51" s="10"/>
      <c r="CT51" s="10">
        <f t="shared" si="100"/>
        <v>0</v>
      </c>
      <c r="CU51" s="10">
        <f t="shared" si="112"/>
        <v>0</v>
      </c>
      <c r="CV51" s="2"/>
      <c r="CW51" s="2"/>
      <c r="CX51" s="2"/>
      <c r="CY51" s="2"/>
      <c r="CZ51" s="2"/>
      <c r="DA51" s="2"/>
      <c r="DB51" s="2"/>
      <c r="DC51" s="2"/>
      <c r="DD51" s="2"/>
    </row>
    <row r="52" spans="1:108" x14ac:dyDescent="0.25">
      <c r="A52" s="10" t="s">
        <v>28</v>
      </c>
      <c r="B52" s="10">
        <v>10</v>
      </c>
      <c r="C52" s="10" t="s">
        <v>29</v>
      </c>
      <c r="D52" s="11">
        <v>0.8314606741573034</v>
      </c>
      <c r="E52" s="11">
        <v>0.16853932584269662</v>
      </c>
      <c r="F52" s="28">
        <v>8</v>
      </c>
      <c r="G52" s="10"/>
      <c r="H52" s="10">
        <f t="shared" si="70"/>
        <v>8</v>
      </c>
      <c r="I52" s="10">
        <v>11</v>
      </c>
      <c r="J52" s="10"/>
      <c r="K52" s="10">
        <f t="shared" si="71"/>
        <v>11</v>
      </c>
      <c r="L52" s="10">
        <v>6</v>
      </c>
      <c r="M52" s="10"/>
      <c r="N52" s="10">
        <f t="shared" si="101"/>
        <v>6</v>
      </c>
      <c r="O52" s="10">
        <v>9</v>
      </c>
      <c r="P52" s="10"/>
      <c r="Q52" s="10">
        <f t="shared" si="102"/>
        <v>9</v>
      </c>
      <c r="R52" s="10">
        <v>7</v>
      </c>
      <c r="S52" s="10"/>
      <c r="T52" s="10">
        <f t="shared" si="103"/>
        <v>7</v>
      </c>
      <c r="U52" s="10">
        <v>10</v>
      </c>
      <c r="V52" s="10"/>
      <c r="W52" s="10">
        <f t="shared" si="75"/>
        <v>10</v>
      </c>
      <c r="X52" s="10">
        <v>8</v>
      </c>
      <c r="Y52" s="10"/>
      <c r="Z52" s="10">
        <f t="shared" si="104"/>
        <v>8</v>
      </c>
      <c r="AA52" s="10">
        <v>12</v>
      </c>
      <c r="AB52" s="10"/>
      <c r="AC52" s="10">
        <f t="shared" si="105"/>
        <v>12</v>
      </c>
      <c r="AD52" s="10">
        <v>4</v>
      </c>
      <c r="AE52" s="10"/>
      <c r="AF52" s="10">
        <f t="shared" si="78"/>
        <v>12</v>
      </c>
      <c r="AG52" s="10">
        <v>6</v>
      </c>
      <c r="AH52" s="10"/>
      <c r="AI52" s="10">
        <f t="shared" si="106"/>
        <v>6</v>
      </c>
      <c r="AJ52" s="10">
        <v>13</v>
      </c>
      <c r="AK52" s="10"/>
      <c r="AL52" s="10">
        <f t="shared" si="107"/>
        <v>13</v>
      </c>
      <c r="AM52" s="10">
        <v>18</v>
      </c>
      <c r="AN52" s="10"/>
      <c r="AO52" s="10">
        <f t="shared" si="108"/>
        <v>18</v>
      </c>
      <c r="AP52" s="10">
        <v>15</v>
      </c>
      <c r="AQ52" s="10"/>
      <c r="AR52" s="10">
        <f t="shared" si="82"/>
        <v>15</v>
      </c>
      <c r="AS52" s="10">
        <v>7</v>
      </c>
      <c r="AT52" s="10"/>
      <c r="AU52" s="10">
        <f t="shared" si="83"/>
        <v>7</v>
      </c>
      <c r="AV52" s="10">
        <v>17</v>
      </c>
      <c r="AW52" s="10"/>
      <c r="AX52" s="10">
        <f t="shared" si="84"/>
        <v>17</v>
      </c>
      <c r="AY52" s="10">
        <v>20</v>
      </c>
      <c r="AZ52" s="10"/>
      <c r="BA52" s="10">
        <f t="shared" si="85"/>
        <v>20</v>
      </c>
      <c r="BB52" s="10">
        <v>9</v>
      </c>
      <c r="BC52" s="10"/>
      <c r="BD52" s="10">
        <f t="shared" si="86"/>
        <v>9</v>
      </c>
      <c r="BE52" s="10">
        <v>17</v>
      </c>
      <c r="BF52" s="10"/>
      <c r="BG52" s="10">
        <f t="shared" si="87"/>
        <v>17</v>
      </c>
      <c r="BH52" s="10">
        <v>21</v>
      </c>
      <c r="BI52" s="10"/>
      <c r="BJ52" s="10">
        <f t="shared" si="88"/>
        <v>21</v>
      </c>
      <c r="BK52" s="10">
        <v>12</v>
      </c>
      <c r="BL52" s="10"/>
      <c r="BM52" s="10">
        <f t="shared" si="89"/>
        <v>12</v>
      </c>
      <c r="BN52" s="10">
        <v>10</v>
      </c>
      <c r="BO52" s="10"/>
      <c r="BP52" s="10">
        <f t="shared" si="90"/>
        <v>10</v>
      </c>
      <c r="BQ52" s="10">
        <v>13</v>
      </c>
      <c r="BR52" s="10"/>
      <c r="BS52" s="10">
        <f t="shared" si="91"/>
        <v>13</v>
      </c>
      <c r="BT52" s="10">
        <v>12</v>
      </c>
      <c r="BU52" s="10"/>
      <c r="BV52" s="10">
        <f t="shared" si="92"/>
        <v>12</v>
      </c>
      <c r="BW52" s="10">
        <v>12</v>
      </c>
      <c r="BX52" s="10"/>
      <c r="BY52" s="10">
        <f t="shared" si="109"/>
        <v>12</v>
      </c>
      <c r="BZ52" s="10">
        <v>10</v>
      </c>
      <c r="CA52" s="10"/>
      <c r="CB52" s="10">
        <f t="shared" si="110"/>
        <v>10</v>
      </c>
      <c r="CC52" s="10">
        <v>12</v>
      </c>
      <c r="CD52" s="10"/>
      <c r="CE52" s="10">
        <f t="shared" si="111"/>
        <v>12</v>
      </c>
      <c r="CF52" s="10">
        <v>23</v>
      </c>
      <c r="CG52" s="10"/>
      <c r="CH52" s="10">
        <f t="shared" si="96"/>
        <v>23</v>
      </c>
      <c r="CI52" s="10">
        <v>12</v>
      </c>
      <c r="CJ52" s="10"/>
      <c r="CK52" s="10">
        <f t="shared" si="97"/>
        <v>12</v>
      </c>
      <c r="CL52" s="10">
        <v>18</v>
      </c>
      <c r="CM52" s="10"/>
      <c r="CN52" s="10">
        <f t="shared" si="98"/>
        <v>18</v>
      </c>
      <c r="CO52" s="10">
        <v>16</v>
      </c>
      <c r="CP52" s="10"/>
      <c r="CQ52" s="10">
        <f t="shared" si="99"/>
        <v>16</v>
      </c>
      <c r="CR52" s="10">
        <v>20</v>
      </c>
      <c r="CS52" s="10"/>
      <c r="CT52" s="10">
        <f t="shared" si="100"/>
        <v>20</v>
      </c>
      <c r="CU52" s="10">
        <f t="shared" si="112"/>
        <v>396</v>
      </c>
      <c r="CV52" s="2"/>
      <c r="CW52" s="2"/>
      <c r="CX52" s="2"/>
      <c r="CY52" s="2"/>
      <c r="CZ52" s="2"/>
      <c r="DA52" s="2"/>
      <c r="DB52" s="2"/>
      <c r="DC52" s="2"/>
      <c r="DD52" s="2"/>
    </row>
    <row r="53" spans="1:108" x14ac:dyDescent="0.25">
      <c r="A53" s="10" t="s">
        <v>30</v>
      </c>
      <c r="B53" s="10">
        <v>1</v>
      </c>
      <c r="C53" s="10" t="s">
        <v>29</v>
      </c>
      <c r="D53" s="11">
        <v>0.66666666666666663</v>
      </c>
      <c r="E53" s="11">
        <v>0.33333333333333331</v>
      </c>
      <c r="F53" s="28">
        <v>4</v>
      </c>
      <c r="G53" s="10"/>
      <c r="H53" s="10">
        <f t="shared" si="70"/>
        <v>4</v>
      </c>
      <c r="I53" s="10"/>
      <c r="J53" s="10"/>
      <c r="K53" s="10">
        <f t="shared" si="71"/>
        <v>0</v>
      </c>
      <c r="L53" s="10"/>
      <c r="M53" s="10"/>
      <c r="N53" s="10">
        <f t="shared" si="101"/>
        <v>0</v>
      </c>
      <c r="O53" s="10"/>
      <c r="P53" s="10"/>
      <c r="Q53" s="10">
        <f t="shared" si="102"/>
        <v>0</v>
      </c>
      <c r="R53" s="10"/>
      <c r="S53" s="10"/>
      <c r="T53" s="10">
        <f t="shared" si="103"/>
        <v>0</v>
      </c>
      <c r="U53" s="10"/>
      <c r="V53" s="10"/>
      <c r="W53" s="10">
        <f t="shared" si="75"/>
        <v>0</v>
      </c>
      <c r="X53" s="10"/>
      <c r="Y53" s="10"/>
      <c r="Z53" s="10">
        <f t="shared" si="104"/>
        <v>0</v>
      </c>
      <c r="AA53" s="10"/>
      <c r="AB53" s="10"/>
      <c r="AC53" s="10">
        <f t="shared" si="105"/>
        <v>0</v>
      </c>
      <c r="AD53" s="10"/>
      <c r="AE53" s="10"/>
      <c r="AF53" s="10">
        <f t="shared" si="78"/>
        <v>0</v>
      </c>
      <c r="AG53" s="10">
        <v>1</v>
      </c>
      <c r="AH53" s="10"/>
      <c r="AI53" s="10">
        <f t="shared" si="106"/>
        <v>1</v>
      </c>
      <c r="AJ53" s="10">
        <v>0</v>
      </c>
      <c r="AK53" s="10"/>
      <c r="AL53" s="10">
        <f t="shared" si="107"/>
        <v>0</v>
      </c>
      <c r="AM53" s="10">
        <v>0</v>
      </c>
      <c r="AN53" s="10"/>
      <c r="AO53" s="10">
        <f t="shared" si="108"/>
        <v>0</v>
      </c>
      <c r="AP53" s="10">
        <v>1</v>
      </c>
      <c r="AQ53" s="10"/>
      <c r="AR53" s="10">
        <f t="shared" si="82"/>
        <v>1</v>
      </c>
      <c r="AS53" s="10">
        <v>1</v>
      </c>
      <c r="AT53" s="10"/>
      <c r="AU53" s="10">
        <f t="shared" si="83"/>
        <v>1</v>
      </c>
      <c r="AV53" s="10">
        <v>1</v>
      </c>
      <c r="AW53" s="10"/>
      <c r="AX53" s="10">
        <f t="shared" si="84"/>
        <v>1</v>
      </c>
      <c r="AY53" s="10"/>
      <c r="AZ53" s="10"/>
      <c r="BA53" s="10">
        <f t="shared" si="85"/>
        <v>0</v>
      </c>
      <c r="BB53" s="10">
        <v>0</v>
      </c>
      <c r="BC53" s="10"/>
      <c r="BD53" s="10">
        <f t="shared" si="86"/>
        <v>0</v>
      </c>
      <c r="BE53" s="10">
        <v>0</v>
      </c>
      <c r="BF53" s="10"/>
      <c r="BG53" s="10">
        <f t="shared" si="87"/>
        <v>0</v>
      </c>
      <c r="BH53" s="10">
        <v>0</v>
      </c>
      <c r="BI53" s="10"/>
      <c r="BJ53" s="10">
        <f t="shared" si="88"/>
        <v>0</v>
      </c>
      <c r="BK53" s="10">
        <v>3</v>
      </c>
      <c r="BL53" s="10"/>
      <c r="BM53" s="10">
        <f t="shared" si="89"/>
        <v>3</v>
      </c>
      <c r="BN53" s="10">
        <v>3</v>
      </c>
      <c r="BO53" s="10"/>
      <c r="BP53" s="10">
        <f t="shared" si="90"/>
        <v>3</v>
      </c>
      <c r="BQ53" s="10"/>
      <c r="BR53" s="10"/>
      <c r="BS53" s="10">
        <f t="shared" si="91"/>
        <v>0</v>
      </c>
      <c r="BT53" s="10">
        <v>1</v>
      </c>
      <c r="BU53" s="10"/>
      <c r="BV53" s="10">
        <f t="shared" si="92"/>
        <v>1</v>
      </c>
      <c r="BW53" s="10">
        <v>1</v>
      </c>
      <c r="BX53" s="10"/>
      <c r="BY53" s="10">
        <f t="shared" si="109"/>
        <v>1</v>
      </c>
      <c r="BZ53" s="10">
        <v>1</v>
      </c>
      <c r="CA53" s="10"/>
      <c r="CB53" s="10">
        <f t="shared" si="110"/>
        <v>1</v>
      </c>
      <c r="CC53" s="10">
        <v>4</v>
      </c>
      <c r="CD53" s="10"/>
      <c r="CE53" s="10">
        <f t="shared" si="111"/>
        <v>4</v>
      </c>
      <c r="CF53" s="10">
        <v>1</v>
      </c>
      <c r="CG53" s="10"/>
      <c r="CH53" s="10">
        <f t="shared" si="96"/>
        <v>1</v>
      </c>
      <c r="CI53" s="10"/>
      <c r="CJ53" s="10"/>
      <c r="CK53" s="10">
        <f t="shared" si="97"/>
        <v>0</v>
      </c>
      <c r="CL53" s="10">
        <v>1</v>
      </c>
      <c r="CM53" s="10"/>
      <c r="CN53" s="10">
        <f t="shared" si="98"/>
        <v>1</v>
      </c>
      <c r="CO53" s="10">
        <v>1</v>
      </c>
      <c r="CP53" s="10"/>
      <c r="CQ53" s="10">
        <f t="shared" si="99"/>
        <v>1</v>
      </c>
      <c r="CR53" s="10">
        <v>1</v>
      </c>
      <c r="CS53" s="10"/>
      <c r="CT53" s="10">
        <f t="shared" si="100"/>
        <v>1</v>
      </c>
      <c r="CU53" s="10">
        <f t="shared" si="112"/>
        <v>25</v>
      </c>
      <c r="CV53" s="2"/>
      <c r="CW53" s="2"/>
      <c r="CX53" s="2"/>
      <c r="CY53" s="2"/>
      <c r="CZ53" s="2"/>
      <c r="DA53" s="2"/>
      <c r="DB53" s="2"/>
      <c r="DC53" s="2"/>
      <c r="DD53" s="2"/>
    </row>
    <row r="54" spans="1:108" x14ac:dyDescent="0.25">
      <c r="A54" s="10" t="s">
        <v>31</v>
      </c>
      <c r="B54" s="10">
        <v>0</v>
      </c>
      <c r="C54" s="10" t="s">
        <v>29</v>
      </c>
      <c r="D54" s="11">
        <v>0.6875</v>
      </c>
      <c r="E54" s="11">
        <v>0.3125</v>
      </c>
      <c r="F54" s="28"/>
      <c r="G54" s="10"/>
      <c r="H54" s="10">
        <f t="shared" si="70"/>
        <v>0</v>
      </c>
      <c r="I54" s="10"/>
      <c r="J54" s="10"/>
      <c r="K54" s="10">
        <f t="shared" si="71"/>
        <v>0</v>
      </c>
      <c r="L54" s="10"/>
      <c r="M54" s="10"/>
      <c r="N54" s="10">
        <f t="shared" si="101"/>
        <v>0</v>
      </c>
      <c r="O54" s="10"/>
      <c r="P54" s="10"/>
      <c r="Q54" s="10">
        <f t="shared" si="102"/>
        <v>0</v>
      </c>
      <c r="R54" s="10"/>
      <c r="S54" s="10"/>
      <c r="T54" s="10">
        <f t="shared" si="103"/>
        <v>0</v>
      </c>
      <c r="U54" s="10"/>
      <c r="V54" s="10"/>
      <c r="W54" s="10">
        <f t="shared" si="75"/>
        <v>0</v>
      </c>
      <c r="X54" s="10"/>
      <c r="Y54" s="10"/>
      <c r="Z54" s="10">
        <f t="shared" si="104"/>
        <v>0</v>
      </c>
      <c r="AA54" s="10"/>
      <c r="AB54" s="10"/>
      <c r="AC54" s="10">
        <f t="shared" si="105"/>
        <v>0</v>
      </c>
      <c r="AD54" s="10"/>
      <c r="AE54" s="10"/>
      <c r="AF54" s="10">
        <f t="shared" si="78"/>
        <v>0</v>
      </c>
      <c r="AG54" s="10"/>
      <c r="AH54" s="10"/>
      <c r="AI54" s="10">
        <f t="shared" si="106"/>
        <v>0</v>
      </c>
      <c r="AJ54" s="10"/>
      <c r="AK54" s="10"/>
      <c r="AL54" s="10">
        <f t="shared" si="107"/>
        <v>0</v>
      </c>
      <c r="AM54" s="10"/>
      <c r="AN54" s="10"/>
      <c r="AO54" s="10">
        <f t="shared" si="108"/>
        <v>0</v>
      </c>
      <c r="AP54" s="10"/>
      <c r="AQ54" s="10"/>
      <c r="AR54" s="10">
        <f t="shared" si="82"/>
        <v>0</v>
      </c>
      <c r="AS54" s="10"/>
      <c r="AT54" s="10"/>
      <c r="AU54" s="10">
        <f t="shared" si="83"/>
        <v>0</v>
      </c>
      <c r="AV54" s="10"/>
      <c r="AW54" s="10"/>
      <c r="AX54" s="10">
        <f t="shared" si="84"/>
        <v>0</v>
      </c>
      <c r="AY54" s="10"/>
      <c r="AZ54" s="10"/>
      <c r="BA54" s="10">
        <f t="shared" si="85"/>
        <v>0</v>
      </c>
      <c r="BB54" s="10"/>
      <c r="BC54" s="10"/>
      <c r="BD54" s="10">
        <f t="shared" si="86"/>
        <v>0</v>
      </c>
      <c r="BE54" s="10"/>
      <c r="BF54" s="10"/>
      <c r="BG54" s="10">
        <f t="shared" si="87"/>
        <v>0</v>
      </c>
      <c r="BH54" s="10"/>
      <c r="BI54" s="10"/>
      <c r="BJ54" s="10">
        <f t="shared" si="88"/>
        <v>0</v>
      </c>
      <c r="BK54" s="10"/>
      <c r="BL54" s="10"/>
      <c r="BM54" s="10">
        <f t="shared" si="89"/>
        <v>0</v>
      </c>
      <c r="BN54" s="10"/>
      <c r="BO54" s="10"/>
      <c r="BP54" s="10">
        <f t="shared" si="90"/>
        <v>0</v>
      </c>
      <c r="BQ54" s="10"/>
      <c r="BR54" s="10"/>
      <c r="BS54" s="10">
        <f t="shared" si="91"/>
        <v>0</v>
      </c>
      <c r="BT54" s="10"/>
      <c r="BU54" s="10"/>
      <c r="BV54" s="10">
        <f t="shared" si="92"/>
        <v>0</v>
      </c>
      <c r="BW54" s="10"/>
      <c r="BX54" s="10"/>
      <c r="BY54" s="10">
        <f t="shared" si="109"/>
        <v>0</v>
      </c>
      <c r="BZ54" s="10"/>
      <c r="CA54" s="10"/>
      <c r="CB54" s="10">
        <f t="shared" si="110"/>
        <v>0</v>
      </c>
      <c r="CC54" s="10"/>
      <c r="CD54" s="10"/>
      <c r="CE54" s="10">
        <f t="shared" si="111"/>
        <v>0</v>
      </c>
      <c r="CF54" s="10"/>
      <c r="CG54" s="10"/>
      <c r="CH54" s="10">
        <f t="shared" si="96"/>
        <v>0</v>
      </c>
      <c r="CI54" s="10"/>
      <c r="CJ54" s="10"/>
      <c r="CK54" s="10">
        <f t="shared" si="97"/>
        <v>0</v>
      </c>
      <c r="CL54" s="10"/>
      <c r="CM54" s="10"/>
      <c r="CN54" s="10">
        <f t="shared" si="98"/>
        <v>0</v>
      </c>
      <c r="CO54" s="10"/>
      <c r="CP54" s="10"/>
      <c r="CQ54" s="10">
        <f t="shared" si="99"/>
        <v>0</v>
      </c>
      <c r="CR54" s="10"/>
      <c r="CS54" s="10"/>
      <c r="CT54" s="10">
        <f t="shared" si="100"/>
        <v>0</v>
      </c>
      <c r="CU54" s="10">
        <f t="shared" si="112"/>
        <v>0</v>
      </c>
      <c r="CV54" s="2"/>
      <c r="CW54" s="2"/>
      <c r="CX54" s="2"/>
      <c r="CY54" s="2"/>
      <c r="CZ54" s="2"/>
      <c r="DA54" s="2"/>
      <c r="DB54" s="2"/>
      <c r="DC54" s="2"/>
      <c r="DD54" s="2"/>
    </row>
    <row r="55" spans="1:108" x14ac:dyDescent="0.25">
      <c r="A55" s="10" t="s">
        <v>32</v>
      </c>
      <c r="B55" s="10">
        <v>7</v>
      </c>
      <c r="C55" s="10" t="s">
        <v>29</v>
      </c>
      <c r="D55" s="11">
        <v>0.73287671232876717</v>
      </c>
      <c r="E55" s="11">
        <v>0.26712328767123289</v>
      </c>
      <c r="F55" s="28"/>
      <c r="G55" s="10"/>
      <c r="H55" s="10">
        <f t="shared" si="70"/>
        <v>0</v>
      </c>
      <c r="I55" s="10"/>
      <c r="J55" s="10"/>
      <c r="K55" s="10">
        <f t="shared" si="71"/>
        <v>0</v>
      </c>
      <c r="L55" s="10">
        <v>0</v>
      </c>
      <c r="M55" s="10"/>
      <c r="N55" s="10">
        <f t="shared" si="101"/>
        <v>0</v>
      </c>
      <c r="O55" s="10">
        <v>1</v>
      </c>
      <c r="P55" s="10"/>
      <c r="Q55" s="10">
        <f t="shared" si="102"/>
        <v>1</v>
      </c>
      <c r="R55" s="10">
        <v>1</v>
      </c>
      <c r="S55" s="10"/>
      <c r="T55" s="10">
        <f t="shared" si="103"/>
        <v>1</v>
      </c>
      <c r="U55" s="10"/>
      <c r="V55" s="10"/>
      <c r="W55" s="10">
        <f t="shared" si="75"/>
        <v>0</v>
      </c>
      <c r="X55" s="10"/>
      <c r="Y55" s="10"/>
      <c r="Z55" s="10">
        <f t="shared" si="104"/>
        <v>0</v>
      </c>
      <c r="AA55" s="10"/>
      <c r="AB55" s="10"/>
      <c r="AC55" s="10">
        <f t="shared" si="105"/>
        <v>0</v>
      </c>
      <c r="AD55" s="10"/>
      <c r="AE55" s="10"/>
      <c r="AF55" s="10">
        <f t="shared" si="78"/>
        <v>0</v>
      </c>
      <c r="AG55" s="10">
        <v>0</v>
      </c>
      <c r="AH55" s="10"/>
      <c r="AI55" s="10">
        <f t="shared" si="106"/>
        <v>0</v>
      </c>
      <c r="AJ55" s="10">
        <v>0</v>
      </c>
      <c r="AK55" s="10"/>
      <c r="AL55" s="10">
        <f t="shared" si="107"/>
        <v>0</v>
      </c>
      <c r="AM55" s="10">
        <v>1</v>
      </c>
      <c r="AN55" s="10"/>
      <c r="AO55" s="10">
        <f t="shared" si="108"/>
        <v>1</v>
      </c>
      <c r="AP55" s="10">
        <v>1</v>
      </c>
      <c r="AQ55" s="10"/>
      <c r="AR55" s="10">
        <f t="shared" si="82"/>
        <v>1</v>
      </c>
      <c r="AS55" s="10">
        <v>3</v>
      </c>
      <c r="AT55" s="10"/>
      <c r="AU55" s="10">
        <f t="shared" si="83"/>
        <v>3</v>
      </c>
      <c r="AV55" s="10"/>
      <c r="AW55" s="10"/>
      <c r="AX55" s="10">
        <f t="shared" si="84"/>
        <v>0</v>
      </c>
      <c r="AY55" s="10">
        <v>1</v>
      </c>
      <c r="AZ55" s="10"/>
      <c r="BA55" s="10">
        <f t="shared" si="85"/>
        <v>1</v>
      </c>
      <c r="BB55" s="10">
        <v>0</v>
      </c>
      <c r="BC55" s="10"/>
      <c r="BD55" s="10">
        <f t="shared" si="86"/>
        <v>0</v>
      </c>
      <c r="BE55" s="10">
        <v>3</v>
      </c>
      <c r="BF55" s="10"/>
      <c r="BG55" s="10">
        <f t="shared" si="87"/>
        <v>3</v>
      </c>
      <c r="BH55" s="10">
        <v>5</v>
      </c>
      <c r="BI55" s="10"/>
      <c r="BJ55" s="10">
        <f t="shared" si="88"/>
        <v>5</v>
      </c>
      <c r="BK55" s="10">
        <v>2</v>
      </c>
      <c r="BL55" s="10"/>
      <c r="BM55" s="10">
        <f t="shared" si="89"/>
        <v>2</v>
      </c>
      <c r="BN55" s="10">
        <v>4</v>
      </c>
      <c r="BO55" s="10"/>
      <c r="BP55" s="10">
        <f t="shared" si="90"/>
        <v>4</v>
      </c>
      <c r="BQ55" s="10"/>
      <c r="BR55" s="10"/>
      <c r="BS55" s="10">
        <f t="shared" si="91"/>
        <v>0</v>
      </c>
      <c r="BT55" s="10">
        <v>3</v>
      </c>
      <c r="BU55" s="10"/>
      <c r="BV55" s="10">
        <f t="shared" si="92"/>
        <v>3</v>
      </c>
      <c r="BW55" s="10">
        <v>2</v>
      </c>
      <c r="BX55" s="10"/>
      <c r="BY55" s="10">
        <f t="shared" si="109"/>
        <v>2</v>
      </c>
      <c r="BZ55" s="10">
        <v>4</v>
      </c>
      <c r="CA55" s="10"/>
      <c r="CB55" s="10">
        <f t="shared" si="110"/>
        <v>4</v>
      </c>
      <c r="CC55" s="10">
        <v>7</v>
      </c>
      <c r="CD55" s="10"/>
      <c r="CE55" s="10">
        <f t="shared" si="111"/>
        <v>7</v>
      </c>
      <c r="CF55" s="10">
        <v>5</v>
      </c>
      <c r="CG55" s="10"/>
      <c r="CH55" s="10">
        <f t="shared" si="96"/>
        <v>5</v>
      </c>
      <c r="CI55" s="10">
        <v>13</v>
      </c>
      <c r="CJ55" s="10"/>
      <c r="CK55" s="10">
        <f t="shared" si="97"/>
        <v>13</v>
      </c>
      <c r="CL55" s="10">
        <v>7</v>
      </c>
      <c r="CM55" s="10"/>
      <c r="CN55" s="10">
        <f t="shared" si="98"/>
        <v>7</v>
      </c>
      <c r="CO55" s="10">
        <v>9</v>
      </c>
      <c r="CP55" s="10"/>
      <c r="CQ55" s="10">
        <f t="shared" si="99"/>
        <v>9</v>
      </c>
      <c r="CR55" s="10">
        <v>7</v>
      </c>
      <c r="CS55" s="10"/>
      <c r="CT55" s="10">
        <f t="shared" si="100"/>
        <v>7</v>
      </c>
      <c r="CU55" s="10">
        <f t="shared" si="112"/>
        <v>79</v>
      </c>
      <c r="CV55" s="2"/>
      <c r="CW55" s="2"/>
      <c r="CX55" s="2"/>
      <c r="CY55" s="2"/>
      <c r="CZ55" s="2"/>
      <c r="DA55" s="2"/>
      <c r="DB55" s="2"/>
      <c r="DC55" s="2"/>
      <c r="DD55" s="2"/>
    </row>
    <row r="56" spans="1:108" x14ac:dyDescent="0.25">
      <c r="A56" s="10" t="s">
        <v>33</v>
      </c>
      <c r="B56" s="10">
        <v>4</v>
      </c>
      <c r="C56" s="10" t="s">
        <v>29</v>
      </c>
      <c r="D56" s="11">
        <v>0.7857142857142857</v>
      </c>
      <c r="E56" s="11">
        <v>0.21428571428571427</v>
      </c>
      <c r="F56" s="28">
        <v>9</v>
      </c>
      <c r="G56" s="10"/>
      <c r="H56" s="10">
        <f t="shared" si="70"/>
        <v>9</v>
      </c>
      <c r="I56" s="10">
        <v>3</v>
      </c>
      <c r="J56" s="10"/>
      <c r="K56" s="10">
        <f t="shared" si="71"/>
        <v>3</v>
      </c>
      <c r="L56" s="10">
        <v>7</v>
      </c>
      <c r="M56" s="10"/>
      <c r="N56" s="10">
        <f t="shared" si="101"/>
        <v>7</v>
      </c>
      <c r="O56" s="10">
        <v>13</v>
      </c>
      <c r="P56" s="10"/>
      <c r="Q56" s="10">
        <f t="shared" si="102"/>
        <v>13</v>
      </c>
      <c r="R56" s="10">
        <v>8</v>
      </c>
      <c r="S56" s="10"/>
      <c r="T56" s="10">
        <f t="shared" si="103"/>
        <v>8</v>
      </c>
      <c r="U56" s="10">
        <v>6</v>
      </c>
      <c r="V56" s="10"/>
      <c r="W56" s="10">
        <f t="shared" si="75"/>
        <v>6</v>
      </c>
      <c r="X56" s="10">
        <v>7</v>
      </c>
      <c r="Y56" s="10"/>
      <c r="Z56" s="10">
        <f t="shared" si="104"/>
        <v>7</v>
      </c>
      <c r="AA56" s="10">
        <v>4</v>
      </c>
      <c r="AB56" s="10"/>
      <c r="AC56" s="10">
        <f t="shared" si="105"/>
        <v>4</v>
      </c>
      <c r="AD56" s="10">
        <v>2</v>
      </c>
      <c r="AE56" s="10"/>
      <c r="AF56" s="10">
        <f t="shared" si="78"/>
        <v>4</v>
      </c>
      <c r="AG56" s="10">
        <v>5</v>
      </c>
      <c r="AH56" s="10"/>
      <c r="AI56" s="10">
        <f t="shared" si="106"/>
        <v>5</v>
      </c>
      <c r="AJ56" s="10">
        <v>7</v>
      </c>
      <c r="AK56" s="10"/>
      <c r="AL56" s="10">
        <f t="shared" si="107"/>
        <v>7</v>
      </c>
      <c r="AM56" s="10">
        <v>4</v>
      </c>
      <c r="AN56" s="10"/>
      <c r="AO56" s="10">
        <f t="shared" si="108"/>
        <v>4</v>
      </c>
      <c r="AP56" s="10">
        <v>8</v>
      </c>
      <c r="AQ56" s="10"/>
      <c r="AR56" s="10">
        <f t="shared" si="82"/>
        <v>8</v>
      </c>
      <c r="AS56" s="10">
        <v>4</v>
      </c>
      <c r="AT56" s="10"/>
      <c r="AU56" s="10">
        <f t="shared" si="83"/>
        <v>4</v>
      </c>
      <c r="AV56" s="10">
        <v>8</v>
      </c>
      <c r="AW56" s="10"/>
      <c r="AX56" s="10">
        <f t="shared" si="84"/>
        <v>8</v>
      </c>
      <c r="AY56" s="10">
        <v>7</v>
      </c>
      <c r="AZ56" s="10"/>
      <c r="BA56" s="10">
        <f t="shared" si="85"/>
        <v>7</v>
      </c>
      <c r="BB56" s="10">
        <v>7</v>
      </c>
      <c r="BC56" s="10"/>
      <c r="BD56" s="10">
        <f t="shared" si="86"/>
        <v>7</v>
      </c>
      <c r="BE56" s="10">
        <v>6</v>
      </c>
      <c r="BF56" s="10"/>
      <c r="BG56" s="10">
        <f t="shared" si="87"/>
        <v>6</v>
      </c>
      <c r="BH56" s="10">
        <v>6</v>
      </c>
      <c r="BI56" s="10"/>
      <c r="BJ56" s="10">
        <f t="shared" si="88"/>
        <v>6</v>
      </c>
      <c r="BK56" s="10">
        <v>7</v>
      </c>
      <c r="BL56" s="10"/>
      <c r="BM56" s="10">
        <f t="shared" si="89"/>
        <v>7</v>
      </c>
      <c r="BN56" s="10">
        <v>6</v>
      </c>
      <c r="BO56" s="10"/>
      <c r="BP56" s="10">
        <f t="shared" si="90"/>
        <v>6</v>
      </c>
      <c r="BQ56" s="10">
        <v>4</v>
      </c>
      <c r="BR56" s="10"/>
      <c r="BS56" s="10">
        <f t="shared" si="91"/>
        <v>4</v>
      </c>
      <c r="BT56" s="10">
        <v>9</v>
      </c>
      <c r="BU56" s="10"/>
      <c r="BV56" s="10">
        <f t="shared" si="92"/>
        <v>9</v>
      </c>
      <c r="BW56" s="10">
        <v>5</v>
      </c>
      <c r="BX56" s="10"/>
      <c r="BY56" s="10">
        <f t="shared" si="109"/>
        <v>5</v>
      </c>
      <c r="BZ56" s="10">
        <v>11</v>
      </c>
      <c r="CA56" s="10"/>
      <c r="CB56" s="10">
        <f t="shared" si="110"/>
        <v>11</v>
      </c>
      <c r="CC56" s="10">
        <v>11</v>
      </c>
      <c r="CD56" s="10"/>
      <c r="CE56" s="10">
        <f t="shared" si="111"/>
        <v>11</v>
      </c>
      <c r="CF56" s="10">
        <v>5</v>
      </c>
      <c r="CG56" s="10"/>
      <c r="CH56" s="10">
        <f t="shared" si="96"/>
        <v>5</v>
      </c>
      <c r="CI56" s="10">
        <v>5</v>
      </c>
      <c r="CJ56" s="10"/>
      <c r="CK56" s="10">
        <f t="shared" si="97"/>
        <v>5</v>
      </c>
      <c r="CL56" s="10">
        <v>9</v>
      </c>
      <c r="CM56" s="10"/>
      <c r="CN56" s="10">
        <f t="shared" si="98"/>
        <v>9</v>
      </c>
      <c r="CO56" s="10">
        <v>5</v>
      </c>
      <c r="CP56" s="10"/>
      <c r="CQ56" s="10">
        <f t="shared" si="99"/>
        <v>5</v>
      </c>
      <c r="CR56" s="10">
        <v>6</v>
      </c>
      <c r="CS56" s="10"/>
      <c r="CT56" s="10">
        <f t="shared" si="100"/>
        <v>6</v>
      </c>
      <c r="CU56" s="10">
        <f t="shared" si="112"/>
        <v>206</v>
      </c>
      <c r="CV56" s="2"/>
      <c r="CW56" s="2"/>
      <c r="CX56" s="2"/>
      <c r="CY56" s="2"/>
      <c r="CZ56" s="2"/>
      <c r="DA56" s="2"/>
      <c r="DB56" s="2"/>
      <c r="DC56" s="2"/>
      <c r="DD56" s="2"/>
    </row>
    <row r="57" spans="1:108" x14ac:dyDescent="0.25">
      <c r="A57" s="10" t="s">
        <v>34</v>
      </c>
      <c r="B57" s="10">
        <v>0</v>
      </c>
      <c r="C57" s="10" t="s">
        <v>29</v>
      </c>
      <c r="D57" s="11">
        <v>0.69463869463869465</v>
      </c>
      <c r="E57" s="11">
        <v>0.30536130536130535</v>
      </c>
      <c r="F57" s="28"/>
      <c r="G57" s="10"/>
      <c r="H57" s="10">
        <f t="shared" si="70"/>
        <v>0</v>
      </c>
      <c r="I57" s="10"/>
      <c r="J57" s="10"/>
      <c r="K57" s="10">
        <f t="shared" si="71"/>
        <v>0</v>
      </c>
      <c r="L57" s="10"/>
      <c r="M57" s="10"/>
      <c r="N57" s="10">
        <f t="shared" si="101"/>
        <v>0</v>
      </c>
      <c r="O57" s="10"/>
      <c r="P57" s="10"/>
      <c r="Q57" s="10">
        <f t="shared" si="102"/>
        <v>0</v>
      </c>
      <c r="R57" s="10"/>
      <c r="S57" s="10"/>
      <c r="T57" s="10">
        <f t="shared" si="103"/>
        <v>0</v>
      </c>
      <c r="U57" s="10"/>
      <c r="V57" s="10"/>
      <c r="W57" s="10">
        <f t="shared" si="75"/>
        <v>0</v>
      </c>
      <c r="X57" s="10"/>
      <c r="Y57" s="10"/>
      <c r="Z57" s="10">
        <f t="shared" si="104"/>
        <v>0</v>
      </c>
      <c r="AA57" s="10"/>
      <c r="AB57" s="10"/>
      <c r="AC57" s="10">
        <f t="shared" si="105"/>
        <v>0</v>
      </c>
      <c r="AD57" s="10"/>
      <c r="AE57" s="10"/>
      <c r="AF57" s="10">
        <f t="shared" si="78"/>
        <v>0</v>
      </c>
      <c r="AG57" s="10"/>
      <c r="AH57" s="10"/>
      <c r="AI57" s="10">
        <f t="shared" si="106"/>
        <v>0</v>
      </c>
      <c r="AJ57" s="10"/>
      <c r="AK57" s="10"/>
      <c r="AL57" s="10">
        <f t="shared" si="107"/>
        <v>0</v>
      </c>
      <c r="AM57" s="10"/>
      <c r="AN57" s="10"/>
      <c r="AO57" s="10">
        <f t="shared" si="108"/>
        <v>0</v>
      </c>
      <c r="AP57" s="10"/>
      <c r="AQ57" s="10"/>
      <c r="AR57" s="10">
        <f t="shared" si="82"/>
        <v>0</v>
      </c>
      <c r="AS57" s="10"/>
      <c r="AT57" s="10"/>
      <c r="AU57" s="10">
        <f t="shared" si="83"/>
        <v>0</v>
      </c>
      <c r="AV57" s="10"/>
      <c r="AW57" s="10"/>
      <c r="AX57" s="10">
        <f t="shared" si="84"/>
        <v>0</v>
      </c>
      <c r="AY57" s="10"/>
      <c r="AZ57" s="10"/>
      <c r="BA57" s="10">
        <f t="shared" si="85"/>
        <v>0</v>
      </c>
      <c r="BB57" s="10"/>
      <c r="BC57" s="10"/>
      <c r="BD57" s="10">
        <f t="shared" si="86"/>
        <v>0</v>
      </c>
      <c r="BE57" s="10"/>
      <c r="BF57" s="10"/>
      <c r="BG57" s="10">
        <f t="shared" si="87"/>
        <v>0</v>
      </c>
      <c r="BH57" s="10"/>
      <c r="BI57" s="10"/>
      <c r="BJ57" s="10">
        <f t="shared" si="88"/>
        <v>0</v>
      </c>
      <c r="BK57" s="10"/>
      <c r="BL57" s="10"/>
      <c r="BM57" s="10">
        <f t="shared" si="89"/>
        <v>0</v>
      </c>
      <c r="BN57" s="10"/>
      <c r="BO57" s="10"/>
      <c r="BP57" s="10">
        <f t="shared" si="90"/>
        <v>0</v>
      </c>
      <c r="BQ57" s="10"/>
      <c r="BR57" s="10"/>
      <c r="BS57" s="10">
        <f t="shared" si="91"/>
        <v>0</v>
      </c>
      <c r="BT57" s="10"/>
      <c r="BU57" s="10"/>
      <c r="BV57" s="10">
        <f t="shared" si="92"/>
        <v>0</v>
      </c>
      <c r="BW57" s="10"/>
      <c r="BX57" s="10"/>
      <c r="BY57" s="10">
        <f t="shared" si="109"/>
        <v>0</v>
      </c>
      <c r="BZ57" s="10"/>
      <c r="CA57" s="10"/>
      <c r="CB57" s="10">
        <f t="shared" si="110"/>
        <v>0</v>
      </c>
      <c r="CC57" s="10"/>
      <c r="CD57" s="10"/>
      <c r="CE57" s="10">
        <f t="shared" si="111"/>
        <v>0</v>
      </c>
      <c r="CF57" s="10"/>
      <c r="CG57" s="10"/>
      <c r="CH57" s="10">
        <f t="shared" si="96"/>
        <v>0</v>
      </c>
      <c r="CI57" s="10"/>
      <c r="CJ57" s="10"/>
      <c r="CK57" s="10">
        <f t="shared" si="97"/>
        <v>0</v>
      </c>
      <c r="CL57" s="10"/>
      <c r="CM57" s="10"/>
      <c r="CN57" s="10">
        <f t="shared" si="98"/>
        <v>0</v>
      </c>
      <c r="CO57" s="10"/>
      <c r="CP57" s="10"/>
      <c r="CQ57" s="10">
        <f t="shared" si="99"/>
        <v>0</v>
      </c>
      <c r="CR57" s="10"/>
      <c r="CS57" s="10"/>
      <c r="CT57" s="10">
        <f t="shared" si="100"/>
        <v>0</v>
      </c>
      <c r="CU57" s="10">
        <f t="shared" si="112"/>
        <v>0</v>
      </c>
      <c r="CV57" s="2"/>
      <c r="CW57" s="2"/>
      <c r="CX57" s="2"/>
      <c r="CY57" s="2"/>
      <c r="CZ57" s="2"/>
      <c r="DA57" s="2"/>
      <c r="DB57" s="2"/>
      <c r="DC57" s="2"/>
      <c r="DD57" s="2"/>
    </row>
    <row r="58" spans="1:108" x14ac:dyDescent="0.25">
      <c r="A58" s="10" t="s">
        <v>35</v>
      </c>
      <c r="B58" s="10">
        <v>0</v>
      </c>
      <c r="C58" s="10" t="s">
        <v>29</v>
      </c>
      <c r="D58" s="11">
        <v>0.76923076923076927</v>
      </c>
      <c r="E58" s="11">
        <v>0.23076923076923078</v>
      </c>
      <c r="F58" s="28"/>
      <c r="G58" s="10"/>
      <c r="H58" s="10">
        <f t="shared" si="70"/>
        <v>0</v>
      </c>
      <c r="I58" s="10"/>
      <c r="J58" s="10"/>
      <c r="K58" s="10">
        <f t="shared" si="71"/>
        <v>0</v>
      </c>
      <c r="L58" s="10"/>
      <c r="M58" s="10"/>
      <c r="N58" s="10">
        <f t="shared" si="101"/>
        <v>0</v>
      </c>
      <c r="O58" s="10"/>
      <c r="P58" s="10"/>
      <c r="Q58" s="10">
        <f t="shared" si="102"/>
        <v>0</v>
      </c>
      <c r="R58" s="10"/>
      <c r="S58" s="10"/>
      <c r="T58" s="10">
        <f t="shared" si="103"/>
        <v>0</v>
      </c>
      <c r="U58" s="10"/>
      <c r="V58" s="10"/>
      <c r="W58" s="10">
        <f t="shared" si="75"/>
        <v>0</v>
      </c>
      <c r="X58" s="10"/>
      <c r="Y58" s="10"/>
      <c r="Z58" s="10">
        <f t="shared" si="104"/>
        <v>0</v>
      </c>
      <c r="AA58" s="10"/>
      <c r="AB58" s="10"/>
      <c r="AC58" s="10">
        <f t="shared" si="105"/>
        <v>0</v>
      </c>
      <c r="AD58" s="10"/>
      <c r="AE58" s="10"/>
      <c r="AF58" s="10">
        <f t="shared" si="78"/>
        <v>0</v>
      </c>
      <c r="AG58" s="10"/>
      <c r="AH58" s="10"/>
      <c r="AI58" s="10">
        <f t="shared" si="106"/>
        <v>0</v>
      </c>
      <c r="AJ58" s="10"/>
      <c r="AK58" s="10"/>
      <c r="AL58" s="10">
        <f t="shared" si="107"/>
        <v>0</v>
      </c>
      <c r="AM58" s="10"/>
      <c r="AN58" s="10"/>
      <c r="AO58" s="10">
        <f t="shared" si="108"/>
        <v>0</v>
      </c>
      <c r="AP58" s="10"/>
      <c r="AQ58" s="10"/>
      <c r="AR58" s="10">
        <f t="shared" si="82"/>
        <v>0</v>
      </c>
      <c r="AS58" s="10"/>
      <c r="AT58" s="10"/>
      <c r="AU58" s="10">
        <f t="shared" si="83"/>
        <v>0</v>
      </c>
      <c r="AV58" s="10"/>
      <c r="AW58" s="10"/>
      <c r="AX58" s="10">
        <f t="shared" si="84"/>
        <v>0</v>
      </c>
      <c r="AY58" s="10"/>
      <c r="AZ58" s="10"/>
      <c r="BA58" s="10">
        <f t="shared" si="85"/>
        <v>0</v>
      </c>
      <c r="BB58" s="10"/>
      <c r="BC58" s="10"/>
      <c r="BD58" s="10">
        <f t="shared" si="86"/>
        <v>0</v>
      </c>
      <c r="BE58" s="10"/>
      <c r="BF58" s="10"/>
      <c r="BG58" s="10">
        <f t="shared" si="87"/>
        <v>0</v>
      </c>
      <c r="BH58" s="10"/>
      <c r="BI58" s="10"/>
      <c r="BJ58" s="10">
        <f t="shared" si="88"/>
        <v>0</v>
      </c>
      <c r="BK58" s="10"/>
      <c r="BL58" s="10"/>
      <c r="BM58" s="10">
        <f t="shared" si="89"/>
        <v>0</v>
      </c>
      <c r="BN58" s="10"/>
      <c r="BO58" s="10"/>
      <c r="BP58" s="10">
        <f t="shared" si="90"/>
        <v>0</v>
      </c>
      <c r="BQ58" s="10"/>
      <c r="BR58" s="10"/>
      <c r="BS58" s="10">
        <f t="shared" si="91"/>
        <v>0</v>
      </c>
      <c r="BT58" s="10"/>
      <c r="BU58" s="10"/>
      <c r="BV58" s="10">
        <f t="shared" si="92"/>
        <v>0</v>
      </c>
      <c r="BW58" s="10"/>
      <c r="BX58" s="10"/>
      <c r="BY58" s="10">
        <f t="shared" si="109"/>
        <v>0</v>
      </c>
      <c r="BZ58" s="10"/>
      <c r="CA58" s="10"/>
      <c r="CB58" s="10">
        <f t="shared" si="110"/>
        <v>0</v>
      </c>
      <c r="CC58" s="10"/>
      <c r="CD58" s="10"/>
      <c r="CE58" s="10">
        <f t="shared" si="111"/>
        <v>0</v>
      </c>
      <c r="CF58" s="10"/>
      <c r="CG58" s="10"/>
      <c r="CH58" s="10">
        <f t="shared" si="96"/>
        <v>0</v>
      </c>
      <c r="CI58" s="10"/>
      <c r="CJ58" s="10"/>
      <c r="CK58" s="10">
        <f t="shared" si="97"/>
        <v>0</v>
      </c>
      <c r="CL58" s="10"/>
      <c r="CM58" s="10"/>
      <c r="CN58" s="10">
        <f t="shared" si="98"/>
        <v>0</v>
      </c>
      <c r="CO58" s="10"/>
      <c r="CP58" s="10"/>
      <c r="CQ58" s="10">
        <f t="shared" si="99"/>
        <v>0</v>
      </c>
      <c r="CR58" s="10"/>
      <c r="CS58" s="10"/>
      <c r="CT58" s="10">
        <f t="shared" si="100"/>
        <v>0</v>
      </c>
      <c r="CU58" s="10">
        <f t="shared" si="112"/>
        <v>0</v>
      </c>
      <c r="CV58" s="2"/>
      <c r="CW58" s="2"/>
      <c r="CX58" s="2"/>
      <c r="CY58" s="2"/>
      <c r="CZ58" s="2"/>
      <c r="DA58" s="2"/>
      <c r="DB58" s="2"/>
      <c r="DC58" s="2"/>
      <c r="DD58" s="2"/>
    </row>
    <row r="59" spans="1:108" x14ac:dyDescent="0.25">
      <c r="A59" s="10" t="s">
        <v>36</v>
      </c>
      <c r="B59" s="10">
        <v>11</v>
      </c>
      <c r="C59" s="10" t="s">
        <v>29</v>
      </c>
      <c r="D59" s="11">
        <v>0.84530386740331487</v>
      </c>
      <c r="E59" s="11">
        <v>0.15469613259668508</v>
      </c>
      <c r="F59" s="28">
        <v>4</v>
      </c>
      <c r="G59" s="10"/>
      <c r="H59" s="10">
        <f t="shared" si="70"/>
        <v>4</v>
      </c>
      <c r="I59" s="10">
        <v>5</v>
      </c>
      <c r="J59" s="10"/>
      <c r="K59" s="10">
        <f t="shared" si="71"/>
        <v>5</v>
      </c>
      <c r="L59" s="10">
        <v>2</v>
      </c>
      <c r="M59" s="10"/>
      <c r="N59" s="10">
        <f t="shared" si="101"/>
        <v>2</v>
      </c>
      <c r="O59" s="10">
        <v>11</v>
      </c>
      <c r="P59" s="10"/>
      <c r="Q59" s="10">
        <f t="shared" si="102"/>
        <v>11</v>
      </c>
      <c r="R59" s="10">
        <v>4</v>
      </c>
      <c r="S59" s="10"/>
      <c r="T59" s="10">
        <f t="shared" si="103"/>
        <v>4</v>
      </c>
      <c r="U59" s="10">
        <v>5</v>
      </c>
      <c r="V59" s="10"/>
      <c r="W59" s="10">
        <f t="shared" si="75"/>
        <v>5</v>
      </c>
      <c r="X59" s="10">
        <v>5</v>
      </c>
      <c r="Y59" s="10"/>
      <c r="Z59" s="10">
        <f t="shared" si="104"/>
        <v>5</v>
      </c>
      <c r="AA59" s="10">
        <v>5</v>
      </c>
      <c r="AB59" s="10"/>
      <c r="AC59" s="10">
        <f t="shared" si="105"/>
        <v>5</v>
      </c>
      <c r="AD59" s="10">
        <v>5</v>
      </c>
      <c r="AE59" s="10"/>
      <c r="AF59" s="10">
        <f t="shared" si="78"/>
        <v>5</v>
      </c>
      <c r="AG59" s="10">
        <v>4</v>
      </c>
      <c r="AH59" s="10"/>
      <c r="AI59" s="10">
        <f t="shared" si="106"/>
        <v>4</v>
      </c>
      <c r="AJ59" s="10">
        <v>8</v>
      </c>
      <c r="AK59" s="10"/>
      <c r="AL59" s="10">
        <f t="shared" si="107"/>
        <v>8</v>
      </c>
      <c r="AM59" s="10">
        <v>7</v>
      </c>
      <c r="AN59" s="10"/>
      <c r="AO59" s="10">
        <f t="shared" si="108"/>
        <v>7</v>
      </c>
      <c r="AP59" s="10">
        <v>6</v>
      </c>
      <c r="AQ59" s="10"/>
      <c r="AR59" s="10">
        <f t="shared" si="82"/>
        <v>6</v>
      </c>
      <c r="AS59" s="10">
        <v>5</v>
      </c>
      <c r="AT59" s="10"/>
      <c r="AU59" s="10">
        <f t="shared" si="83"/>
        <v>5</v>
      </c>
      <c r="AV59" s="10">
        <v>7</v>
      </c>
      <c r="AW59" s="10"/>
      <c r="AX59" s="10">
        <f t="shared" si="84"/>
        <v>7</v>
      </c>
      <c r="AY59" s="10">
        <v>8</v>
      </c>
      <c r="AZ59" s="10"/>
      <c r="BA59" s="10">
        <f t="shared" si="85"/>
        <v>8</v>
      </c>
      <c r="BB59" s="10">
        <v>5</v>
      </c>
      <c r="BC59" s="10"/>
      <c r="BD59" s="10">
        <f t="shared" si="86"/>
        <v>5</v>
      </c>
      <c r="BE59" s="10">
        <v>9</v>
      </c>
      <c r="BF59" s="10"/>
      <c r="BG59" s="10">
        <f t="shared" si="87"/>
        <v>9</v>
      </c>
      <c r="BH59" s="10">
        <v>8</v>
      </c>
      <c r="BI59" s="10"/>
      <c r="BJ59" s="10">
        <f t="shared" si="88"/>
        <v>8</v>
      </c>
      <c r="BK59" s="10">
        <v>4</v>
      </c>
      <c r="BL59" s="10"/>
      <c r="BM59" s="10">
        <f t="shared" si="89"/>
        <v>4</v>
      </c>
      <c r="BN59" s="10">
        <v>3</v>
      </c>
      <c r="BO59" s="10"/>
      <c r="BP59" s="10">
        <f t="shared" si="90"/>
        <v>3</v>
      </c>
      <c r="BQ59" s="10">
        <v>2</v>
      </c>
      <c r="BR59" s="10"/>
      <c r="BS59" s="10">
        <f t="shared" si="91"/>
        <v>2</v>
      </c>
      <c r="BT59" s="10">
        <v>8</v>
      </c>
      <c r="BU59" s="10"/>
      <c r="BV59" s="10">
        <f t="shared" si="92"/>
        <v>8</v>
      </c>
      <c r="BW59" s="10">
        <v>2</v>
      </c>
      <c r="BX59" s="10"/>
      <c r="BY59" s="10">
        <f t="shared" si="109"/>
        <v>2</v>
      </c>
      <c r="BZ59" s="10">
        <v>6</v>
      </c>
      <c r="CA59" s="10"/>
      <c r="CB59" s="10">
        <f t="shared" si="110"/>
        <v>6</v>
      </c>
      <c r="CC59" s="10">
        <v>3</v>
      </c>
      <c r="CD59" s="10"/>
      <c r="CE59" s="10">
        <f t="shared" si="111"/>
        <v>3</v>
      </c>
      <c r="CF59" s="10">
        <v>9</v>
      </c>
      <c r="CG59" s="10"/>
      <c r="CH59" s="10">
        <f t="shared" si="96"/>
        <v>9</v>
      </c>
      <c r="CI59" s="10">
        <v>10</v>
      </c>
      <c r="CJ59" s="10"/>
      <c r="CK59" s="10">
        <f t="shared" si="97"/>
        <v>10</v>
      </c>
      <c r="CL59" s="10">
        <v>6</v>
      </c>
      <c r="CM59" s="10"/>
      <c r="CN59" s="10">
        <f t="shared" si="98"/>
        <v>6</v>
      </c>
      <c r="CO59" s="10">
        <v>4</v>
      </c>
      <c r="CP59" s="10"/>
      <c r="CQ59" s="10">
        <f t="shared" si="99"/>
        <v>4</v>
      </c>
      <c r="CR59" s="10">
        <v>8</v>
      </c>
      <c r="CS59" s="10"/>
      <c r="CT59" s="10">
        <f t="shared" si="100"/>
        <v>8</v>
      </c>
      <c r="CU59" s="10">
        <f t="shared" si="112"/>
        <v>178</v>
      </c>
      <c r="CV59" s="2"/>
      <c r="CW59" s="2"/>
      <c r="CX59" s="2"/>
      <c r="CY59" s="2"/>
      <c r="CZ59" s="2"/>
      <c r="DA59" s="2"/>
      <c r="DB59" s="2"/>
      <c r="DC59" s="2"/>
      <c r="DD59" s="2"/>
    </row>
    <row r="60" spans="1:108" x14ac:dyDescent="0.25">
      <c r="A60" s="10" t="s">
        <v>37</v>
      </c>
      <c r="B60" s="10">
        <v>11</v>
      </c>
      <c r="C60" s="10" t="s">
        <v>29</v>
      </c>
      <c r="D60" s="11">
        <v>0.75443786982248517</v>
      </c>
      <c r="E60" s="11">
        <v>0.2455621301775148</v>
      </c>
      <c r="F60" s="28">
        <v>1</v>
      </c>
      <c r="G60" s="10"/>
      <c r="H60" s="10">
        <f t="shared" si="70"/>
        <v>1</v>
      </c>
      <c r="I60" s="10">
        <v>1</v>
      </c>
      <c r="J60" s="10"/>
      <c r="K60" s="10">
        <f t="shared" si="71"/>
        <v>1</v>
      </c>
      <c r="L60" s="10">
        <v>0</v>
      </c>
      <c r="M60" s="10"/>
      <c r="N60" s="10">
        <f t="shared" si="101"/>
        <v>0</v>
      </c>
      <c r="O60" s="10">
        <v>3</v>
      </c>
      <c r="P60" s="10"/>
      <c r="Q60" s="10">
        <f t="shared" si="102"/>
        <v>3</v>
      </c>
      <c r="R60" s="10">
        <v>0</v>
      </c>
      <c r="S60" s="10"/>
      <c r="T60" s="10">
        <f t="shared" si="103"/>
        <v>0</v>
      </c>
      <c r="U60" s="10">
        <v>2</v>
      </c>
      <c r="V60" s="10"/>
      <c r="W60" s="10">
        <f t="shared" si="75"/>
        <v>2</v>
      </c>
      <c r="X60" s="10">
        <v>3</v>
      </c>
      <c r="Y60" s="10"/>
      <c r="Z60" s="10">
        <f t="shared" si="104"/>
        <v>3</v>
      </c>
      <c r="AA60" s="10">
        <v>0</v>
      </c>
      <c r="AB60" s="10"/>
      <c r="AC60" s="10">
        <f t="shared" si="105"/>
        <v>0</v>
      </c>
      <c r="AD60" s="10">
        <v>1</v>
      </c>
      <c r="AE60" s="10"/>
      <c r="AF60" s="10">
        <f t="shared" si="78"/>
        <v>0</v>
      </c>
      <c r="AG60" s="10">
        <v>0</v>
      </c>
      <c r="AH60" s="10"/>
      <c r="AI60" s="10">
        <f t="shared" si="106"/>
        <v>0</v>
      </c>
      <c r="AJ60" s="10">
        <v>5</v>
      </c>
      <c r="AK60" s="10"/>
      <c r="AL60" s="10">
        <f t="shared" si="107"/>
        <v>5</v>
      </c>
      <c r="AM60" s="10">
        <v>5</v>
      </c>
      <c r="AN60" s="10"/>
      <c r="AO60" s="10">
        <f t="shared" si="108"/>
        <v>5</v>
      </c>
      <c r="AP60" s="10">
        <v>1</v>
      </c>
      <c r="AQ60" s="10"/>
      <c r="AR60" s="10">
        <f t="shared" si="82"/>
        <v>1</v>
      </c>
      <c r="AS60" s="10"/>
      <c r="AT60" s="10"/>
      <c r="AU60" s="10">
        <f t="shared" si="83"/>
        <v>0</v>
      </c>
      <c r="AV60" s="10">
        <v>3</v>
      </c>
      <c r="AW60" s="10"/>
      <c r="AX60" s="10">
        <f t="shared" si="84"/>
        <v>3</v>
      </c>
      <c r="AY60" s="10">
        <v>3</v>
      </c>
      <c r="AZ60" s="10"/>
      <c r="BA60" s="10">
        <f t="shared" si="85"/>
        <v>3</v>
      </c>
      <c r="BB60" s="10">
        <v>4</v>
      </c>
      <c r="BC60" s="10"/>
      <c r="BD60" s="10">
        <f t="shared" si="86"/>
        <v>4</v>
      </c>
      <c r="BE60" s="10">
        <v>2</v>
      </c>
      <c r="BF60" s="10"/>
      <c r="BG60" s="10">
        <f t="shared" si="87"/>
        <v>2</v>
      </c>
      <c r="BH60" s="10">
        <v>3</v>
      </c>
      <c r="BI60" s="10"/>
      <c r="BJ60" s="10">
        <f t="shared" si="88"/>
        <v>3</v>
      </c>
      <c r="BK60" s="10">
        <v>3</v>
      </c>
      <c r="BL60" s="10"/>
      <c r="BM60" s="10">
        <f t="shared" si="89"/>
        <v>3</v>
      </c>
      <c r="BN60" s="10">
        <v>4</v>
      </c>
      <c r="BO60" s="10"/>
      <c r="BP60" s="10">
        <f t="shared" si="90"/>
        <v>4</v>
      </c>
      <c r="BQ60" s="10">
        <v>1</v>
      </c>
      <c r="BR60" s="10"/>
      <c r="BS60" s="10">
        <f t="shared" si="91"/>
        <v>1</v>
      </c>
      <c r="BT60" s="10">
        <v>3</v>
      </c>
      <c r="BU60" s="10"/>
      <c r="BV60" s="10">
        <f t="shared" si="92"/>
        <v>3</v>
      </c>
      <c r="BW60" s="10">
        <v>1</v>
      </c>
      <c r="BX60" s="10"/>
      <c r="BY60" s="10">
        <f t="shared" si="109"/>
        <v>1</v>
      </c>
      <c r="BZ60" s="10">
        <v>2</v>
      </c>
      <c r="CA60" s="10"/>
      <c r="CB60" s="10">
        <f t="shared" si="110"/>
        <v>2</v>
      </c>
      <c r="CC60" s="10">
        <v>2</v>
      </c>
      <c r="CD60" s="10"/>
      <c r="CE60" s="10">
        <f t="shared" si="111"/>
        <v>2</v>
      </c>
      <c r="CF60" s="10">
        <v>3</v>
      </c>
      <c r="CG60" s="10"/>
      <c r="CH60" s="10">
        <f t="shared" si="96"/>
        <v>3</v>
      </c>
      <c r="CI60" s="10">
        <v>5</v>
      </c>
      <c r="CJ60" s="10"/>
      <c r="CK60" s="10">
        <f t="shared" si="97"/>
        <v>5</v>
      </c>
      <c r="CL60" s="10">
        <v>4</v>
      </c>
      <c r="CM60" s="10"/>
      <c r="CN60" s="10">
        <f t="shared" si="98"/>
        <v>4</v>
      </c>
      <c r="CO60" s="10">
        <v>5</v>
      </c>
      <c r="CP60" s="10"/>
      <c r="CQ60" s="10">
        <f t="shared" si="99"/>
        <v>5</v>
      </c>
      <c r="CR60" s="10">
        <v>0</v>
      </c>
      <c r="CS60" s="10"/>
      <c r="CT60" s="10">
        <f t="shared" si="100"/>
        <v>0</v>
      </c>
      <c r="CU60" s="10">
        <f t="shared" si="112"/>
        <v>69</v>
      </c>
      <c r="CV60" s="2"/>
      <c r="CW60" s="2"/>
      <c r="CX60" s="2"/>
      <c r="CY60" s="2"/>
      <c r="CZ60" s="2"/>
      <c r="DA60" s="2"/>
      <c r="DB60" s="2"/>
      <c r="DC60" s="2"/>
      <c r="DD60" s="2"/>
    </row>
    <row r="61" spans="1:108" x14ac:dyDescent="0.25">
      <c r="A61" s="10" t="s">
        <v>38</v>
      </c>
      <c r="B61" s="10">
        <v>0</v>
      </c>
      <c r="C61" s="10" t="s">
        <v>29</v>
      </c>
      <c r="D61" s="11">
        <v>0.75</v>
      </c>
      <c r="E61" s="11">
        <v>0.25</v>
      </c>
      <c r="F61" s="28"/>
      <c r="G61" s="10"/>
      <c r="H61" s="10">
        <f t="shared" si="70"/>
        <v>0</v>
      </c>
      <c r="I61" s="10"/>
      <c r="J61" s="10"/>
      <c r="K61" s="10">
        <f t="shared" si="71"/>
        <v>0</v>
      </c>
      <c r="L61" s="10">
        <v>0</v>
      </c>
      <c r="M61" s="10"/>
      <c r="N61" s="10">
        <f t="shared" si="101"/>
        <v>0</v>
      </c>
      <c r="O61" s="10">
        <v>1</v>
      </c>
      <c r="P61" s="10"/>
      <c r="Q61" s="10">
        <f t="shared" si="102"/>
        <v>1</v>
      </c>
      <c r="R61" s="10">
        <v>0</v>
      </c>
      <c r="S61" s="10"/>
      <c r="T61" s="10">
        <f t="shared" si="103"/>
        <v>0</v>
      </c>
      <c r="U61" s="10">
        <v>1</v>
      </c>
      <c r="V61" s="10"/>
      <c r="W61" s="10">
        <f t="shared" si="75"/>
        <v>1</v>
      </c>
      <c r="X61" s="10"/>
      <c r="Y61" s="10"/>
      <c r="Z61" s="10">
        <f t="shared" si="104"/>
        <v>0</v>
      </c>
      <c r="AA61" s="10"/>
      <c r="AB61" s="10"/>
      <c r="AC61" s="10">
        <f t="shared" si="105"/>
        <v>0</v>
      </c>
      <c r="AD61" s="10"/>
      <c r="AE61" s="10"/>
      <c r="AF61" s="10">
        <f t="shared" si="78"/>
        <v>0</v>
      </c>
      <c r="AG61" s="10">
        <v>2</v>
      </c>
      <c r="AH61" s="10"/>
      <c r="AI61" s="10">
        <f t="shared" si="106"/>
        <v>2</v>
      </c>
      <c r="AJ61" s="10">
        <v>1</v>
      </c>
      <c r="AK61" s="10"/>
      <c r="AL61" s="10">
        <f t="shared" si="107"/>
        <v>1</v>
      </c>
      <c r="AM61" s="10">
        <v>0</v>
      </c>
      <c r="AN61" s="10"/>
      <c r="AO61" s="10">
        <f t="shared" si="108"/>
        <v>0</v>
      </c>
      <c r="AP61" s="10"/>
      <c r="AQ61" s="10"/>
      <c r="AR61" s="10">
        <f t="shared" si="82"/>
        <v>0</v>
      </c>
      <c r="AS61" s="10"/>
      <c r="AT61" s="10"/>
      <c r="AU61" s="10">
        <f t="shared" si="83"/>
        <v>0</v>
      </c>
      <c r="AV61" s="10"/>
      <c r="AW61" s="10"/>
      <c r="AX61" s="10">
        <f t="shared" si="84"/>
        <v>0</v>
      </c>
      <c r="AY61" s="10"/>
      <c r="AZ61" s="10"/>
      <c r="BA61" s="10">
        <f t="shared" si="85"/>
        <v>0</v>
      </c>
      <c r="BB61" s="10">
        <v>1</v>
      </c>
      <c r="BC61" s="10"/>
      <c r="BD61" s="10">
        <f t="shared" si="86"/>
        <v>1</v>
      </c>
      <c r="BE61" s="10">
        <v>1</v>
      </c>
      <c r="BF61" s="10"/>
      <c r="BG61" s="10">
        <f t="shared" si="87"/>
        <v>1</v>
      </c>
      <c r="BH61" s="10">
        <v>1</v>
      </c>
      <c r="BI61" s="10"/>
      <c r="BJ61" s="10">
        <f t="shared" si="88"/>
        <v>1</v>
      </c>
      <c r="BK61" s="10">
        <v>4</v>
      </c>
      <c r="BL61" s="10"/>
      <c r="BM61" s="10">
        <f t="shared" si="89"/>
        <v>4</v>
      </c>
      <c r="BN61" s="10"/>
      <c r="BO61" s="10"/>
      <c r="BP61" s="10">
        <f t="shared" si="90"/>
        <v>0</v>
      </c>
      <c r="BQ61" s="10">
        <v>2</v>
      </c>
      <c r="BR61" s="10"/>
      <c r="BS61" s="10">
        <f t="shared" si="91"/>
        <v>2</v>
      </c>
      <c r="BT61" s="10">
        <v>3</v>
      </c>
      <c r="BU61" s="10"/>
      <c r="BV61" s="10">
        <f t="shared" si="92"/>
        <v>3</v>
      </c>
      <c r="BW61" s="10">
        <v>0</v>
      </c>
      <c r="BX61" s="10"/>
      <c r="BY61" s="10">
        <f t="shared" si="109"/>
        <v>0</v>
      </c>
      <c r="BZ61" s="10">
        <v>3</v>
      </c>
      <c r="CA61" s="10"/>
      <c r="CB61" s="10">
        <f t="shared" si="110"/>
        <v>3</v>
      </c>
      <c r="CC61" s="10">
        <v>3</v>
      </c>
      <c r="CD61" s="10"/>
      <c r="CE61" s="10">
        <f t="shared" si="111"/>
        <v>3</v>
      </c>
      <c r="CF61" s="10">
        <v>1</v>
      </c>
      <c r="CG61" s="10"/>
      <c r="CH61" s="10">
        <f t="shared" si="96"/>
        <v>1</v>
      </c>
      <c r="CI61" s="10">
        <v>2</v>
      </c>
      <c r="CJ61" s="10"/>
      <c r="CK61" s="10">
        <f t="shared" si="97"/>
        <v>2</v>
      </c>
      <c r="CL61" s="10">
        <v>4</v>
      </c>
      <c r="CM61" s="10"/>
      <c r="CN61" s="10">
        <f t="shared" si="98"/>
        <v>4</v>
      </c>
      <c r="CO61" s="10">
        <v>1</v>
      </c>
      <c r="CP61" s="10"/>
      <c r="CQ61" s="10">
        <f t="shared" si="99"/>
        <v>1</v>
      </c>
      <c r="CR61" s="10">
        <v>0</v>
      </c>
      <c r="CS61" s="10"/>
      <c r="CT61" s="10">
        <f t="shared" si="100"/>
        <v>0</v>
      </c>
      <c r="CU61" s="10">
        <f t="shared" si="112"/>
        <v>31</v>
      </c>
      <c r="CV61" s="2"/>
      <c r="CW61" s="2"/>
      <c r="CX61" s="2"/>
      <c r="CY61" s="2"/>
      <c r="CZ61" s="2"/>
      <c r="DA61" s="2"/>
      <c r="DB61" s="2"/>
      <c r="DC61" s="2"/>
      <c r="DD61" s="2"/>
    </row>
    <row r="62" spans="1:108" x14ac:dyDescent="0.25">
      <c r="A62" s="10" t="s">
        <v>39</v>
      </c>
      <c r="B62" s="10">
        <v>13</v>
      </c>
      <c r="C62" s="10" t="s">
        <v>29</v>
      </c>
      <c r="D62" s="11">
        <v>0.83673469387755106</v>
      </c>
      <c r="E62" s="11">
        <v>0.16326530612244897</v>
      </c>
      <c r="F62" s="28">
        <v>5</v>
      </c>
      <c r="G62" s="10"/>
      <c r="H62" s="10">
        <f t="shared" si="70"/>
        <v>5</v>
      </c>
      <c r="I62" s="10">
        <v>5</v>
      </c>
      <c r="J62" s="10"/>
      <c r="K62" s="10">
        <f t="shared" si="71"/>
        <v>5</v>
      </c>
      <c r="L62" s="10">
        <v>5</v>
      </c>
      <c r="M62" s="10"/>
      <c r="N62" s="10">
        <f t="shared" si="101"/>
        <v>5</v>
      </c>
      <c r="O62" s="10">
        <v>5</v>
      </c>
      <c r="P62" s="10"/>
      <c r="Q62" s="10">
        <f t="shared" si="102"/>
        <v>5</v>
      </c>
      <c r="R62" s="10">
        <v>9</v>
      </c>
      <c r="S62" s="10"/>
      <c r="T62" s="10">
        <f t="shared" si="103"/>
        <v>9</v>
      </c>
      <c r="U62" s="10">
        <v>9</v>
      </c>
      <c r="V62" s="10"/>
      <c r="W62" s="10">
        <f t="shared" si="75"/>
        <v>9</v>
      </c>
      <c r="X62" s="10">
        <v>3</v>
      </c>
      <c r="Y62" s="10"/>
      <c r="Z62" s="10">
        <f t="shared" si="104"/>
        <v>3</v>
      </c>
      <c r="AA62" s="10">
        <v>3</v>
      </c>
      <c r="AB62" s="10"/>
      <c r="AC62" s="10">
        <f t="shared" si="105"/>
        <v>3</v>
      </c>
      <c r="AD62" s="10">
        <v>2</v>
      </c>
      <c r="AE62" s="10"/>
      <c r="AF62" s="10">
        <f t="shared" si="78"/>
        <v>3</v>
      </c>
      <c r="AG62" s="10">
        <v>5</v>
      </c>
      <c r="AH62" s="10"/>
      <c r="AI62" s="10">
        <f t="shared" si="106"/>
        <v>5</v>
      </c>
      <c r="AJ62" s="10">
        <v>8</v>
      </c>
      <c r="AK62" s="10"/>
      <c r="AL62" s="10">
        <f t="shared" si="107"/>
        <v>8</v>
      </c>
      <c r="AM62" s="10">
        <v>5</v>
      </c>
      <c r="AN62" s="10"/>
      <c r="AO62" s="10">
        <f t="shared" si="108"/>
        <v>5</v>
      </c>
      <c r="AP62" s="10">
        <v>5</v>
      </c>
      <c r="AQ62" s="10"/>
      <c r="AR62" s="10">
        <f t="shared" si="82"/>
        <v>5</v>
      </c>
      <c r="AS62" s="10">
        <v>4</v>
      </c>
      <c r="AT62" s="10"/>
      <c r="AU62" s="10">
        <f t="shared" si="83"/>
        <v>4</v>
      </c>
      <c r="AV62" s="10">
        <v>7</v>
      </c>
      <c r="AW62" s="10"/>
      <c r="AX62" s="10">
        <f t="shared" si="84"/>
        <v>7</v>
      </c>
      <c r="AY62" s="10">
        <v>2</v>
      </c>
      <c r="AZ62" s="10"/>
      <c r="BA62" s="10">
        <f t="shared" si="85"/>
        <v>2</v>
      </c>
      <c r="BB62" s="10">
        <v>6</v>
      </c>
      <c r="BC62" s="10"/>
      <c r="BD62" s="10">
        <f t="shared" si="86"/>
        <v>6</v>
      </c>
      <c r="BE62" s="10">
        <v>6</v>
      </c>
      <c r="BF62" s="10"/>
      <c r="BG62" s="10">
        <f t="shared" si="87"/>
        <v>6</v>
      </c>
      <c r="BH62" s="10">
        <v>4</v>
      </c>
      <c r="BI62" s="10"/>
      <c r="BJ62" s="10">
        <f t="shared" si="88"/>
        <v>4</v>
      </c>
      <c r="BK62" s="10">
        <v>5</v>
      </c>
      <c r="BL62" s="10"/>
      <c r="BM62" s="10">
        <f t="shared" si="89"/>
        <v>5</v>
      </c>
      <c r="BN62" s="10">
        <v>8</v>
      </c>
      <c r="BO62" s="10"/>
      <c r="BP62" s="10">
        <f t="shared" si="90"/>
        <v>8</v>
      </c>
      <c r="BQ62" s="10">
        <v>9</v>
      </c>
      <c r="BR62" s="10"/>
      <c r="BS62" s="10">
        <f t="shared" si="91"/>
        <v>9</v>
      </c>
      <c r="BT62" s="10">
        <v>5</v>
      </c>
      <c r="BU62" s="10"/>
      <c r="BV62" s="10">
        <f t="shared" si="92"/>
        <v>5</v>
      </c>
      <c r="BW62" s="10">
        <v>6</v>
      </c>
      <c r="BX62" s="10"/>
      <c r="BY62" s="10">
        <f t="shared" si="109"/>
        <v>6</v>
      </c>
      <c r="BZ62" s="10">
        <v>13</v>
      </c>
      <c r="CA62" s="10"/>
      <c r="CB62" s="10">
        <f t="shared" si="110"/>
        <v>13</v>
      </c>
      <c r="CC62" s="10">
        <v>6</v>
      </c>
      <c r="CD62" s="10"/>
      <c r="CE62" s="10">
        <f t="shared" si="111"/>
        <v>6</v>
      </c>
      <c r="CF62" s="10">
        <v>10</v>
      </c>
      <c r="CG62" s="10"/>
      <c r="CH62" s="10">
        <f t="shared" si="96"/>
        <v>10</v>
      </c>
      <c r="CI62" s="10">
        <v>19</v>
      </c>
      <c r="CJ62" s="10"/>
      <c r="CK62" s="10">
        <f t="shared" si="97"/>
        <v>19</v>
      </c>
      <c r="CL62" s="10">
        <v>9</v>
      </c>
      <c r="CM62" s="10"/>
      <c r="CN62" s="10">
        <f t="shared" si="98"/>
        <v>9</v>
      </c>
      <c r="CO62" s="10">
        <v>14</v>
      </c>
      <c r="CP62" s="10"/>
      <c r="CQ62" s="10">
        <f t="shared" si="99"/>
        <v>14</v>
      </c>
      <c r="CR62" s="10">
        <v>15</v>
      </c>
      <c r="CS62" s="10"/>
      <c r="CT62" s="10">
        <f t="shared" si="100"/>
        <v>15</v>
      </c>
      <c r="CU62" s="10">
        <f t="shared" si="112"/>
        <v>218</v>
      </c>
      <c r="CV62" s="2"/>
      <c r="CW62" s="2"/>
      <c r="CX62" s="2"/>
      <c r="CY62" s="2"/>
      <c r="CZ62" s="2"/>
      <c r="DA62" s="2"/>
      <c r="DB62" s="2"/>
      <c r="DC62" s="2"/>
      <c r="DD62" s="2"/>
    </row>
    <row r="63" spans="1:108" x14ac:dyDescent="0.25">
      <c r="A63" s="10" t="s">
        <v>40</v>
      </c>
      <c r="B63" s="10">
        <v>17</v>
      </c>
      <c r="C63" s="10" t="s">
        <v>29</v>
      </c>
      <c r="D63" s="11">
        <v>0.80071174377224197</v>
      </c>
      <c r="E63" s="11">
        <v>0.199288256227758</v>
      </c>
      <c r="F63" s="28">
        <v>9</v>
      </c>
      <c r="G63" s="10"/>
      <c r="H63" s="10">
        <f t="shared" si="70"/>
        <v>9</v>
      </c>
      <c r="I63" s="10">
        <v>5</v>
      </c>
      <c r="J63" s="10"/>
      <c r="K63" s="10">
        <f t="shared" si="71"/>
        <v>5</v>
      </c>
      <c r="L63" s="10">
        <v>14</v>
      </c>
      <c r="M63" s="10"/>
      <c r="N63" s="10">
        <f t="shared" si="101"/>
        <v>14</v>
      </c>
      <c r="O63" s="10">
        <v>7</v>
      </c>
      <c r="P63" s="10"/>
      <c r="Q63" s="10">
        <f t="shared" si="102"/>
        <v>7</v>
      </c>
      <c r="R63" s="10">
        <v>17</v>
      </c>
      <c r="S63" s="10"/>
      <c r="T63" s="10">
        <f t="shared" si="103"/>
        <v>17</v>
      </c>
      <c r="U63" s="10">
        <v>10</v>
      </c>
      <c r="V63" s="10"/>
      <c r="W63" s="10">
        <f t="shared" si="75"/>
        <v>10</v>
      </c>
      <c r="X63" s="10">
        <v>12</v>
      </c>
      <c r="Y63" s="10"/>
      <c r="Z63" s="10">
        <f t="shared" si="104"/>
        <v>12</v>
      </c>
      <c r="AA63" s="10">
        <v>11</v>
      </c>
      <c r="AB63" s="10"/>
      <c r="AC63" s="10">
        <f t="shared" si="105"/>
        <v>11</v>
      </c>
      <c r="AD63" s="10">
        <v>11</v>
      </c>
      <c r="AE63" s="10"/>
      <c r="AF63" s="10">
        <f t="shared" si="78"/>
        <v>11</v>
      </c>
      <c r="AG63" s="10">
        <v>13</v>
      </c>
      <c r="AH63" s="10"/>
      <c r="AI63" s="10">
        <f t="shared" si="106"/>
        <v>13</v>
      </c>
      <c r="AJ63" s="10">
        <v>16</v>
      </c>
      <c r="AK63" s="10"/>
      <c r="AL63" s="10">
        <f t="shared" si="107"/>
        <v>16</v>
      </c>
      <c r="AM63" s="10">
        <v>11</v>
      </c>
      <c r="AN63" s="10"/>
      <c r="AO63" s="10">
        <f t="shared" si="108"/>
        <v>11</v>
      </c>
      <c r="AP63" s="10">
        <v>11</v>
      </c>
      <c r="AQ63" s="10"/>
      <c r="AR63" s="10">
        <f t="shared" si="82"/>
        <v>11</v>
      </c>
      <c r="AS63" s="10">
        <v>9</v>
      </c>
      <c r="AT63" s="10"/>
      <c r="AU63" s="10">
        <f t="shared" si="83"/>
        <v>9</v>
      </c>
      <c r="AV63" s="10">
        <v>18</v>
      </c>
      <c r="AW63" s="10"/>
      <c r="AX63" s="10">
        <f t="shared" si="84"/>
        <v>18</v>
      </c>
      <c r="AY63" s="10">
        <v>8</v>
      </c>
      <c r="AZ63" s="10"/>
      <c r="BA63" s="10">
        <f t="shared" si="85"/>
        <v>8</v>
      </c>
      <c r="BB63" s="10">
        <v>69</v>
      </c>
      <c r="BC63" s="10"/>
      <c r="BD63" s="10">
        <f t="shared" si="86"/>
        <v>69</v>
      </c>
      <c r="BE63" s="10">
        <v>74</v>
      </c>
      <c r="BF63" s="10"/>
      <c r="BG63" s="10">
        <f t="shared" si="87"/>
        <v>74</v>
      </c>
      <c r="BH63" s="10">
        <v>102</v>
      </c>
      <c r="BI63" s="10"/>
      <c r="BJ63" s="10">
        <f t="shared" si="88"/>
        <v>102</v>
      </c>
      <c r="BK63" s="10">
        <v>102</v>
      </c>
      <c r="BL63" s="10"/>
      <c r="BM63" s="10">
        <f t="shared" si="89"/>
        <v>102</v>
      </c>
      <c r="BN63" s="10">
        <v>119</v>
      </c>
      <c r="BO63" s="10"/>
      <c r="BP63" s="10">
        <f t="shared" si="90"/>
        <v>119</v>
      </c>
      <c r="BQ63" s="10">
        <v>102</v>
      </c>
      <c r="BR63" s="10"/>
      <c r="BS63" s="10">
        <f t="shared" si="91"/>
        <v>102</v>
      </c>
      <c r="BT63" s="10">
        <v>91</v>
      </c>
      <c r="BU63" s="10"/>
      <c r="BV63" s="10">
        <f t="shared" si="92"/>
        <v>91</v>
      </c>
      <c r="BW63" s="10">
        <v>77</v>
      </c>
      <c r="BX63" s="10"/>
      <c r="BY63" s="10">
        <f t="shared" si="109"/>
        <v>77</v>
      </c>
      <c r="BZ63" s="10">
        <v>94</v>
      </c>
      <c r="CA63" s="10"/>
      <c r="CB63" s="10">
        <f t="shared" si="110"/>
        <v>94</v>
      </c>
      <c r="CC63" s="10">
        <v>107</v>
      </c>
      <c r="CD63" s="10"/>
      <c r="CE63" s="10">
        <f t="shared" si="111"/>
        <v>107</v>
      </c>
      <c r="CF63" s="10">
        <v>87</v>
      </c>
      <c r="CG63" s="10"/>
      <c r="CH63" s="10">
        <f t="shared" si="96"/>
        <v>87</v>
      </c>
      <c r="CI63" s="10">
        <v>78</v>
      </c>
      <c r="CJ63" s="10"/>
      <c r="CK63" s="10">
        <f t="shared" si="97"/>
        <v>78</v>
      </c>
      <c r="CL63" s="10">
        <v>80</v>
      </c>
      <c r="CM63" s="10"/>
      <c r="CN63" s="10">
        <f t="shared" si="98"/>
        <v>80</v>
      </c>
      <c r="CO63" s="10">
        <v>69</v>
      </c>
      <c r="CP63" s="10"/>
      <c r="CQ63" s="10">
        <f t="shared" si="99"/>
        <v>69</v>
      </c>
      <c r="CR63" s="10">
        <v>91</v>
      </c>
      <c r="CS63" s="10"/>
      <c r="CT63" s="10">
        <f t="shared" si="100"/>
        <v>91</v>
      </c>
      <c r="CU63" s="10">
        <f t="shared" si="112"/>
        <v>1524</v>
      </c>
      <c r="CV63" s="2"/>
      <c r="CW63" s="2"/>
      <c r="CX63" s="2"/>
      <c r="CY63" s="2"/>
      <c r="CZ63" s="2"/>
      <c r="DA63" s="2"/>
      <c r="DB63" s="2"/>
      <c r="DC63" s="2"/>
      <c r="DD63" s="2"/>
    </row>
    <row r="64" spans="1:108" x14ac:dyDescent="0.25">
      <c r="A64" s="10" t="s">
        <v>41</v>
      </c>
      <c r="B64" s="10">
        <v>4</v>
      </c>
      <c r="C64" s="10" t="s">
        <v>29</v>
      </c>
      <c r="D64" s="11">
        <v>0.80952380952380953</v>
      </c>
      <c r="E64" s="11">
        <v>0.19047619047619047</v>
      </c>
      <c r="F64" s="28">
        <v>2</v>
      </c>
      <c r="G64" s="10"/>
      <c r="H64" s="10">
        <f t="shared" si="70"/>
        <v>2</v>
      </c>
      <c r="I64" s="10">
        <v>5</v>
      </c>
      <c r="J64" s="10"/>
      <c r="K64" s="10">
        <f t="shared" si="71"/>
        <v>5</v>
      </c>
      <c r="L64" s="10">
        <v>4</v>
      </c>
      <c r="M64" s="10"/>
      <c r="N64" s="10">
        <f t="shared" si="101"/>
        <v>4</v>
      </c>
      <c r="O64" s="10">
        <v>7</v>
      </c>
      <c r="P64" s="10"/>
      <c r="Q64" s="10">
        <f t="shared" si="102"/>
        <v>7</v>
      </c>
      <c r="R64" s="10">
        <v>10</v>
      </c>
      <c r="S64" s="10"/>
      <c r="T64" s="10">
        <f t="shared" si="103"/>
        <v>10</v>
      </c>
      <c r="U64" s="10">
        <v>7</v>
      </c>
      <c r="V64" s="10"/>
      <c r="W64" s="10">
        <f t="shared" si="75"/>
        <v>7</v>
      </c>
      <c r="X64" s="10">
        <v>2</v>
      </c>
      <c r="Y64" s="10"/>
      <c r="Z64" s="10">
        <f t="shared" si="104"/>
        <v>2</v>
      </c>
      <c r="AA64" s="10">
        <v>10</v>
      </c>
      <c r="AB64" s="10"/>
      <c r="AC64" s="10">
        <f t="shared" si="105"/>
        <v>10</v>
      </c>
      <c r="AD64" s="10">
        <v>4</v>
      </c>
      <c r="AE64" s="10"/>
      <c r="AF64" s="10">
        <f t="shared" si="78"/>
        <v>10</v>
      </c>
      <c r="AG64" s="10">
        <v>7</v>
      </c>
      <c r="AH64" s="10"/>
      <c r="AI64" s="10">
        <f t="shared" si="106"/>
        <v>7</v>
      </c>
      <c r="AJ64" s="10">
        <v>5</v>
      </c>
      <c r="AK64" s="10"/>
      <c r="AL64" s="10">
        <f t="shared" si="107"/>
        <v>5</v>
      </c>
      <c r="AM64" s="10">
        <v>10</v>
      </c>
      <c r="AN64" s="10"/>
      <c r="AO64" s="10">
        <f t="shared" si="108"/>
        <v>10</v>
      </c>
      <c r="AP64" s="10">
        <v>4</v>
      </c>
      <c r="AQ64" s="10"/>
      <c r="AR64" s="10">
        <f t="shared" si="82"/>
        <v>4</v>
      </c>
      <c r="AS64" s="10">
        <v>2</v>
      </c>
      <c r="AT64" s="10"/>
      <c r="AU64" s="10">
        <f t="shared" si="83"/>
        <v>2</v>
      </c>
      <c r="AV64" s="10">
        <v>4</v>
      </c>
      <c r="AW64" s="10"/>
      <c r="AX64" s="10">
        <f t="shared" si="84"/>
        <v>4</v>
      </c>
      <c r="AY64" s="10">
        <v>3</v>
      </c>
      <c r="AZ64" s="10"/>
      <c r="BA64" s="10">
        <f t="shared" si="85"/>
        <v>3</v>
      </c>
      <c r="BB64" s="10">
        <v>9</v>
      </c>
      <c r="BC64" s="10"/>
      <c r="BD64" s="10">
        <f t="shared" si="86"/>
        <v>9</v>
      </c>
      <c r="BE64" s="10">
        <v>6</v>
      </c>
      <c r="BF64" s="10"/>
      <c r="BG64" s="10">
        <f t="shared" si="87"/>
        <v>6</v>
      </c>
      <c r="BH64" s="10">
        <v>16</v>
      </c>
      <c r="BI64" s="10"/>
      <c r="BJ64" s="10">
        <f t="shared" si="88"/>
        <v>16</v>
      </c>
      <c r="BK64" s="10">
        <v>5</v>
      </c>
      <c r="BL64" s="10"/>
      <c r="BM64" s="10">
        <f t="shared" si="89"/>
        <v>5</v>
      </c>
      <c r="BN64" s="10">
        <v>4</v>
      </c>
      <c r="BO64" s="10"/>
      <c r="BP64" s="10">
        <f t="shared" si="90"/>
        <v>4</v>
      </c>
      <c r="BQ64" s="10">
        <v>7</v>
      </c>
      <c r="BR64" s="10"/>
      <c r="BS64" s="10">
        <f t="shared" si="91"/>
        <v>7</v>
      </c>
      <c r="BT64" s="10">
        <v>6</v>
      </c>
      <c r="BU64" s="10"/>
      <c r="BV64" s="10">
        <f t="shared" si="92"/>
        <v>6</v>
      </c>
      <c r="BW64" s="10">
        <v>11</v>
      </c>
      <c r="BX64" s="10"/>
      <c r="BY64" s="10">
        <f t="shared" si="109"/>
        <v>11</v>
      </c>
      <c r="BZ64" s="10">
        <v>11</v>
      </c>
      <c r="CA64" s="10"/>
      <c r="CB64" s="10">
        <f t="shared" si="110"/>
        <v>11</v>
      </c>
      <c r="CC64" s="10">
        <v>9</v>
      </c>
      <c r="CD64" s="10"/>
      <c r="CE64" s="10">
        <f t="shared" si="111"/>
        <v>9</v>
      </c>
      <c r="CF64" s="10">
        <v>6</v>
      </c>
      <c r="CG64" s="10"/>
      <c r="CH64" s="10">
        <f t="shared" si="96"/>
        <v>6</v>
      </c>
      <c r="CI64" s="10">
        <v>4</v>
      </c>
      <c r="CJ64" s="10"/>
      <c r="CK64" s="10">
        <f t="shared" si="97"/>
        <v>4</v>
      </c>
      <c r="CL64" s="10">
        <v>14</v>
      </c>
      <c r="CM64" s="10"/>
      <c r="CN64" s="10">
        <f t="shared" si="98"/>
        <v>14</v>
      </c>
      <c r="CO64" s="10">
        <v>8</v>
      </c>
      <c r="CP64" s="10"/>
      <c r="CQ64" s="10">
        <f t="shared" si="99"/>
        <v>8</v>
      </c>
      <c r="CR64" s="10">
        <v>6</v>
      </c>
      <c r="CS64" s="10"/>
      <c r="CT64" s="10">
        <f t="shared" si="100"/>
        <v>6</v>
      </c>
      <c r="CU64" s="10">
        <f t="shared" si="112"/>
        <v>214</v>
      </c>
      <c r="CV64" s="2"/>
      <c r="CW64" s="2"/>
      <c r="CX64" s="2"/>
      <c r="CY64" s="2"/>
      <c r="CZ64" s="2"/>
      <c r="DA64" s="2"/>
      <c r="DB64" s="2"/>
      <c r="DC64" s="2"/>
      <c r="DD64" s="2"/>
    </row>
    <row r="65" spans="1:108" x14ac:dyDescent="0.25">
      <c r="A65" s="10" t="s">
        <v>42</v>
      </c>
      <c r="B65" s="10">
        <v>4</v>
      </c>
      <c r="C65" s="10" t="s">
        <v>29</v>
      </c>
      <c r="D65" s="11">
        <v>0.42857142857142855</v>
      </c>
      <c r="E65" s="11">
        <v>0.5714285714285714</v>
      </c>
      <c r="F65" s="28"/>
      <c r="G65" s="10"/>
      <c r="H65" s="10">
        <f t="shared" si="70"/>
        <v>0</v>
      </c>
      <c r="I65" s="10"/>
      <c r="J65" s="10"/>
      <c r="K65" s="10">
        <f t="shared" si="71"/>
        <v>0</v>
      </c>
      <c r="L65" s="10"/>
      <c r="M65" s="10"/>
      <c r="N65" s="10">
        <f t="shared" si="101"/>
        <v>0</v>
      </c>
      <c r="O65" s="10"/>
      <c r="P65" s="10"/>
      <c r="Q65" s="10">
        <f t="shared" si="102"/>
        <v>0</v>
      </c>
      <c r="R65" s="10"/>
      <c r="S65" s="10"/>
      <c r="T65" s="10">
        <f t="shared" si="103"/>
        <v>0</v>
      </c>
      <c r="U65" s="10"/>
      <c r="V65" s="10"/>
      <c r="W65" s="10">
        <f t="shared" si="75"/>
        <v>0</v>
      </c>
      <c r="X65" s="10"/>
      <c r="Y65" s="10"/>
      <c r="Z65" s="10">
        <f t="shared" si="104"/>
        <v>0</v>
      </c>
      <c r="AA65" s="10"/>
      <c r="AB65" s="10"/>
      <c r="AC65" s="10">
        <f t="shared" si="105"/>
        <v>0</v>
      </c>
      <c r="AD65" s="10"/>
      <c r="AE65" s="10"/>
      <c r="AF65" s="10">
        <f t="shared" si="78"/>
        <v>0</v>
      </c>
      <c r="AG65" s="10"/>
      <c r="AH65" s="10"/>
      <c r="AI65" s="10">
        <f t="shared" si="106"/>
        <v>0</v>
      </c>
      <c r="AJ65" s="10"/>
      <c r="AK65" s="10"/>
      <c r="AL65" s="10">
        <f t="shared" si="107"/>
        <v>0</v>
      </c>
      <c r="AM65" s="10"/>
      <c r="AN65" s="10"/>
      <c r="AO65" s="10">
        <f t="shared" si="108"/>
        <v>0</v>
      </c>
      <c r="AP65" s="10"/>
      <c r="AQ65" s="10"/>
      <c r="AR65" s="10">
        <f t="shared" si="82"/>
        <v>0</v>
      </c>
      <c r="AS65" s="10"/>
      <c r="AT65" s="10"/>
      <c r="AU65" s="10">
        <f t="shared" si="83"/>
        <v>0</v>
      </c>
      <c r="AV65" s="10"/>
      <c r="AW65" s="10"/>
      <c r="AX65" s="10">
        <f t="shared" si="84"/>
        <v>0</v>
      </c>
      <c r="AY65" s="10"/>
      <c r="AZ65" s="10"/>
      <c r="BA65" s="10">
        <f t="shared" si="85"/>
        <v>0</v>
      </c>
      <c r="BB65" s="10"/>
      <c r="BC65" s="10"/>
      <c r="BD65" s="10">
        <f t="shared" si="86"/>
        <v>0</v>
      </c>
      <c r="BE65" s="10"/>
      <c r="BF65" s="10"/>
      <c r="BG65" s="10">
        <f t="shared" si="87"/>
        <v>0</v>
      </c>
      <c r="BH65" s="10"/>
      <c r="BI65" s="10"/>
      <c r="BJ65" s="10">
        <f t="shared" si="88"/>
        <v>0</v>
      </c>
      <c r="BK65" s="10"/>
      <c r="BL65" s="10"/>
      <c r="BM65" s="10">
        <f t="shared" si="89"/>
        <v>0</v>
      </c>
      <c r="BN65" s="10"/>
      <c r="BO65" s="10"/>
      <c r="BP65" s="10">
        <f t="shared" si="90"/>
        <v>0</v>
      </c>
      <c r="BQ65" s="10"/>
      <c r="BR65" s="10"/>
      <c r="BS65" s="10">
        <f t="shared" si="91"/>
        <v>0</v>
      </c>
      <c r="BT65" s="10"/>
      <c r="BU65" s="10"/>
      <c r="BV65" s="10">
        <f t="shared" si="92"/>
        <v>0</v>
      </c>
      <c r="BW65" s="10"/>
      <c r="BX65" s="10"/>
      <c r="BY65" s="10">
        <f t="shared" si="109"/>
        <v>0</v>
      </c>
      <c r="BZ65" s="10"/>
      <c r="CA65" s="10"/>
      <c r="CB65" s="10">
        <f t="shared" si="110"/>
        <v>0</v>
      </c>
      <c r="CC65" s="10"/>
      <c r="CD65" s="10"/>
      <c r="CE65" s="10">
        <f t="shared" si="111"/>
        <v>0</v>
      </c>
      <c r="CF65" s="10"/>
      <c r="CG65" s="10"/>
      <c r="CH65" s="10">
        <f t="shared" si="96"/>
        <v>0</v>
      </c>
      <c r="CI65" s="10"/>
      <c r="CJ65" s="10"/>
      <c r="CK65" s="10">
        <f t="shared" si="97"/>
        <v>0</v>
      </c>
      <c r="CL65" s="10"/>
      <c r="CM65" s="10"/>
      <c r="CN65" s="10">
        <f t="shared" si="98"/>
        <v>0</v>
      </c>
      <c r="CO65" s="10"/>
      <c r="CP65" s="10"/>
      <c r="CQ65" s="10">
        <f t="shared" si="99"/>
        <v>0</v>
      </c>
      <c r="CR65" s="10"/>
      <c r="CS65" s="10"/>
      <c r="CT65" s="10">
        <f t="shared" si="100"/>
        <v>0</v>
      </c>
      <c r="CU65" s="10">
        <f t="shared" si="112"/>
        <v>0</v>
      </c>
      <c r="CV65" s="2"/>
      <c r="CW65" s="2"/>
      <c r="CX65" s="2"/>
      <c r="CY65" s="2"/>
      <c r="CZ65" s="2"/>
      <c r="DA65" s="2"/>
      <c r="DB65" s="2"/>
      <c r="DC65" s="2"/>
      <c r="DD65" s="2"/>
    </row>
    <row r="66" spans="1:108" x14ac:dyDescent="0.25">
      <c r="A66" s="10" t="s">
        <v>43</v>
      </c>
      <c r="B66" s="10">
        <v>3</v>
      </c>
      <c r="C66" s="10" t="s">
        <v>29</v>
      </c>
      <c r="D66" s="11">
        <v>1</v>
      </c>
      <c r="E66" s="11">
        <v>0</v>
      </c>
      <c r="F66" s="28"/>
      <c r="G66" s="10"/>
      <c r="H66" s="10">
        <f t="shared" si="70"/>
        <v>0</v>
      </c>
      <c r="I66" s="10"/>
      <c r="J66" s="10"/>
      <c r="K66" s="10">
        <f t="shared" si="71"/>
        <v>0</v>
      </c>
      <c r="L66" s="10">
        <v>0</v>
      </c>
      <c r="M66" s="10"/>
      <c r="N66" s="10">
        <f t="shared" si="101"/>
        <v>0</v>
      </c>
      <c r="O66" s="10">
        <v>0</v>
      </c>
      <c r="P66" s="10"/>
      <c r="Q66" s="10">
        <f t="shared" si="102"/>
        <v>0</v>
      </c>
      <c r="R66" s="10">
        <v>1</v>
      </c>
      <c r="S66" s="10"/>
      <c r="T66" s="10">
        <f t="shared" si="103"/>
        <v>1</v>
      </c>
      <c r="U66" s="10"/>
      <c r="V66" s="10"/>
      <c r="W66" s="10">
        <f t="shared" si="75"/>
        <v>0</v>
      </c>
      <c r="X66" s="10"/>
      <c r="Y66" s="10"/>
      <c r="Z66" s="10">
        <f t="shared" si="104"/>
        <v>0</v>
      </c>
      <c r="AA66" s="10"/>
      <c r="AB66" s="10"/>
      <c r="AC66" s="10">
        <f t="shared" si="105"/>
        <v>0</v>
      </c>
      <c r="AD66" s="10"/>
      <c r="AE66" s="10"/>
      <c r="AF66" s="10">
        <f t="shared" si="78"/>
        <v>0</v>
      </c>
      <c r="AG66" s="10">
        <v>1</v>
      </c>
      <c r="AH66" s="10"/>
      <c r="AI66" s="10">
        <f t="shared" si="106"/>
        <v>1</v>
      </c>
      <c r="AJ66" s="10">
        <v>0</v>
      </c>
      <c r="AK66" s="10"/>
      <c r="AL66" s="10">
        <f t="shared" si="107"/>
        <v>0</v>
      </c>
      <c r="AM66" s="10">
        <v>0</v>
      </c>
      <c r="AN66" s="10"/>
      <c r="AO66" s="10">
        <f t="shared" si="108"/>
        <v>0</v>
      </c>
      <c r="AP66" s="10"/>
      <c r="AQ66" s="10"/>
      <c r="AR66" s="10">
        <f t="shared" si="82"/>
        <v>0</v>
      </c>
      <c r="AS66" s="10"/>
      <c r="AT66" s="10"/>
      <c r="AU66" s="10">
        <f t="shared" si="83"/>
        <v>0</v>
      </c>
      <c r="AV66" s="10">
        <v>1</v>
      </c>
      <c r="AW66" s="10"/>
      <c r="AX66" s="10">
        <f t="shared" si="84"/>
        <v>1</v>
      </c>
      <c r="AY66" s="10"/>
      <c r="AZ66" s="10"/>
      <c r="BA66" s="10">
        <f t="shared" si="85"/>
        <v>0</v>
      </c>
      <c r="BB66" s="10">
        <v>0</v>
      </c>
      <c r="BC66" s="10"/>
      <c r="BD66" s="10">
        <f t="shared" si="86"/>
        <v>0</v>
      </c>
      <c r="BE66" s="10">
        <v>0</v>
      </c>
      <c r="BF66" s="10"/>
      <c r="BG66" s="10">
        <f t="shared" si="87"/>
        <v>0</v>
      </c>
      <c r="BH66" s="10">
        <v>1</v>
      </c>
      <c r="BI66" s="10"/>
      <c r="BJ66" s="10">
        <f t="shared" si="88"/>
        <v>1</v>
      </c>
      <c r="BK66" s="10"/>
      <c r="BL66" s="10"/>
      <c r="BM66" s="10">
        <f t="shared" si="89"/>
        <v>0</v>
      </c>
      <c r="BN66" s="10"/>
      <c r="BO66" s="10"/>
      <c r="BP66" s="10">
        <f t="shared" si="90"/>
        <v>0</v>
      </c>
      <c r="BQ66" s="10">
        <v>2</v>
      </c>
      <c r="BR66" s="10"/>
      <c r="BS66" s="10">
        <f t="shared" si="91"/>
        <v>2</v>
      </c>
      <c r="BT66" s="10"/>
      <c r="BU66" s="10"/>
      <c r="BV66" s="10">
        <f t="shared" si="92"/>
        <v>0</v>
      </c>
      <c r="BW66" s="10">
        <v>0</v>
      </c>
      <c r="BX66" s="10"/>
      <c r="BY66" s="10">
        <f t="shared" si="109"/>
        <v>0</v>
      </c>
      <c r="BZ66" s="10">
        <v>1</v>
      </c>
      <c r="CA66" s="10"/>
      <c r="CB66" s="10">
        <f t="shared" si="110"/>
        <v>1</v>
      </c>
      <c r="CC66" s="10">
        <v>6</v>
      </c>
      <c r="CD66" s="10"/>
      <c r="CE66" s="10">
        <f t="shared" si="111"/>
        <v>6</v>
      </c>
      <c r="CF66" s="10">
        <v>9</v>
      </c>
      <c r="CG66" s="10"/>
      <c r="CH66" s="10">
        <f t="shared" si="96"/>
        <v>9</v>
      </c>
      <c r="CI66" s="10">
        <v>3</v>
      </c>
      <c r="CJ66" s="10"/>
      <c r="CK66" s="10">
        <f t="shared" si="97"/>
        <v>3</v>
      </c>
      <c r="CL66" s="10">
        <v>2</v>
      </c>
      <c r="CM66" s="10"/>
      <c r="CN66" s="10">
        <f t="shared" si="98"/>
        <v>2</v>
      </c>
      <c r="CO66" s="10"/>
      <c r="CP66" s="10"/>
      <c r="CQ66" s="10">
        <f t="shared" si="99"/>
        <v>0</v>
      </c>
      <c r="CR66" s="10">
        <v>0</v>
      </c>
      <c r="CS66" s="10"/>
      <c r="CT66" s="10">
        <f t="shared" si="100"/>
        <v>0</v>
      </c>
      <c r="CU66" s="10">
        <f t="shared" si="112"/>
        <v>27</v>
      </c>
      <c r="CV66" s="2"/>
      <c r="CW66" s="2"/>
      <c r="CX66" s="2"/>
      <c r="CY66" s="2"/>
      <c r="CZ66" s="2"/>
      <c r="DA66" s="2"/>
      <c r="DB66" s="2"/>
      <c r="DC66" s="2"/>
      <c r="DD66" s="2"/>
    </row>
    <row r="67" spans="1:108" x14ac:dyDescent="0.25">
      <c r="A67" s="10" t="s">
        <v>44</v>
      </c>
      <c r="B67" s="10"/>
      <c r="C67" s="10" t="s">
        <v>29</v>
      </c>
      <c r="D67" s="11">
        <v>0</v>
      </c>
      <c r="E67" s="11">
        <v>1</v>
      </c>
      <c r="F67" s="28"/>
      <c r="G67" s="10"/>
      <c r="H67" s="10">
        <f t="shared" si="70"/>
        <v>0</v>
      </c>
      <c r="I67" s="10"/>
      <c r="J67" s="10"/>
      <c r="K67" s="10">
        <f t="shared" si="71"/>
        <v>0</v>
      </c>
      <c r="L67" s="10"/>
      <c r="M67" s="10"/>
      <c r="N67" s="10">
        <f t="shared" si="101"/>
        <v>0</v>
      </c>
      <c r="O67" s="10"/>
      <c r="P67" s="10"/>
      <c r="Q67" s="10">
        <f t="shared" si="102"/>
        <v>0</v>
      </c>
      <c r="R67" s="10"/>
      <c r="S67" s="10"/>
      <c r="T67" s="10">
        <f t="shared" si="103"/>
        <v>0</v>
      </c>
      <c r="U67" s="10"/>
      <c r="V67" s="10"/>
      <c r="W67" s="10">
        <f t="shared" si="75"/>
        <v>0</v>
      </c>
      <c r="X67" s="10"/>
      <c r="Y67" s="10"/>
      <c r="Z67" s="10">
        <f t="shared" si="104"/>
        <v>0</v>
      </c>
      <c r="AA67" s="10"/>
      <c r="AB67" s="10"/>
      <c r="AC67" s="10">
        <f t="shared" si="105"/>
        <v>0</v>
      </c>
      <c r="AD67" s="10"/>
      <c r="AE67" s="10"/>
      <c r="AF67" s="10">
        <f t="shared" si="78"/>
        <v>0</v>
      </c>
      <c r="AG67" s="10">
        <v>1</v>
      </c>
      <c r="AH67" s="10"/>
      <c r="AI67" s="10">
        <f t="shared" si="106"/>
        <v>1</v>
      </c>
      <c r="AJ67" s="10">
        <v>0</v>
      </c>
      <c r="AK67" s="10"/>
      <c r="AL67" s="10">
        <f t="shared" si="107"/>
        <v>0</v>
      </c>
      <c r="AM67" s="10">
        <v>0</v>
      </c>
      <c r="AN67" s="10"/>
      <c r="AO67" s="10">
        <f t="shared" si="108"/>
        <v>0</v>
      </c>
      <c r="AP67" s="10"/>
      <c r="AQ67" s="10"/>
      <c r="AR67" s="10">
        <f t="shared" si="82"/>
        <v>0</v>
      </c>
      <c r="AS67" s="10"/>
      <c r="AT67" s="10"/>
      <c r="AU67" s="10">
        <f t="shared" si="83"/>
        <v>0</v>
      </c>
      <c r="AV67" s="10"/>
      <c r="AW67" s="10"/>
      <c r="AX67" s="10">
        <f t="shared" si="84"/>
        <v>0</v>
      </c>
      <c r="AY67" s="10"/>
      <c r="AZ67" s="10"/>
      <c r="BA67" s="10">
        <f t="shared" si="85"/>
        <v>0</v>
      </c>
      <c r="BB67" s="10"/>
      <c r="BC67" s="10"/>
      <c r="BD67" s="10">
        <f t="shared" si="86"/>
        <v>0</v>
      </c>
      <c r="BE67" s="10"/>
      <c r="BF67" s="10"/>
      <c r="BG67" s="10">
        <f t="shared" si="87"/>
        <v>0</v>
      </c>
      <c r="BH67" s="10"/>
      <c r="BI67" s="10"/>
      <c r="BJ67" s="10">
        <f t="shared" si="88"/>
        <v>0</v>
      </c>
      <c r="BK67" s="10"/>
      <c r="BL67" s="10"/>
      <c r="BM67" s="10">
        <f t="shared" si="89"/>
        <v>0</v>
      </c>
      <c r="BN67" s="10">
        <v>1</v>
      </c>
      <c r="BO67" s="10"/>
      <c r="BP67" s="10">
        <f t="shared" si="90"/>
        <v>1</v>
      </c>
      <c r="BQ67" s="10"/>
      <c r="BR67" s="10"/>
      <c r="BS67" s="10">
        <f t="shared" si="91"/>
        <v>0</v>
      </c>
      <c r="BT67" s="10"/>
      <c r="BU67" s="10"/>
      <c r="BV67" s="10">
        <f t="shared" si="92"/>
        <v>0</v>
      </c>
      <c r="BW67" s="10"/>
      <c r="BX67" s="10"/>
      <c r="BY67" s="10">
        <f t="shared" si="109"/>
        <v>0</v>
      </c>
      <c r="BZ67" s="10"/>
      <c r="CA67" s="10"/>
      <c r="CB67" s="10">
        <f t="shared" si="110"/>
        <v>0</v>
      </c>
      <c r="CC67" s="10"/>
      <c r="CD67" s="10"/>
      <c r="CE67" s="10">
        <f t="shared" si="111"/>
        <v>0</v>
      </c>
      <c r="CF67" s="10"/>
      <c r="CG67" s="10"/>
      <c r="CH67" s="10">
        <f t="shared" si="96"/>
        <v>0</v>
      </c>
      <c r="CI67" s="10"/>
      <c r="CJ67" s="10"/>
      <c r="CK67" s="10">
        <f t="shared" si="97"/>
        <v>0</v>
      </c>
      <c r="CL67" s="10">
        <v>1</v>
      </c>
      <c r="CM67" s="10"/>
      <c r="CN67" s="10">
        <f t="shared" si="98"/>
        <v>1</v>
      </c>
      <c r="CO67" s="10"/>
      <c r="CP67" s="10"/>
      <c r="CQ67" s="10">
        <f t="shared" si="99"/>
        <v>0</v>
      </c>
      <c r="CR67" s="10"/>
      <c r="CS67" s="10"/>
      <c r="CT67" s="10">
        <f t="shared" si="100"/>
        <v>0</v>
      </c>
      <c r="CU67" s="10">
        <f t="shared" si="112"/>
        <v>3</v>
      </c>
      <c r="CV67" s="2"/>
      <c r="CW67" s="2"/>
      <c r="CX67" s="2"/>
      <c r="CY67" s="2"/>
      <c r="CZ67" s="2"/>
      <c r="DA67" s="2"/>
      <c r="DB67" s="2"/>
      <c r="DC67" s="2"/>
      <c r="DD67" s="2"/>
    </row>
    <row r="68" spans="1:108" x14ac:dyDescent="0.25">
      <c r="A68" s="10" t="s">
        <v>45</v>
      </c>
      <c r="B68" s="10">
        <v>2</v>
      </c>
      <c r="C68" s="10" t="s">
        <v>29</v>
      </c>
      <c r="D68" s="11">
        <v>1</v>
      </c>
      <c r="E68" s="11">
        <v>0</v>
      </c>
      <c r="F68" s="28">
        <v>13</v>
      </c>
      <c r="G68" s="10"/>
      <c r="H68" s="10">
        <f t="shared" si="70"/>
        <v>13</v>
      </c>
      <c r="I68" s="10">
        <v>5</v>
      </c>
      <c r="J68" s="10"/>
      <c r="K68" s="10">
        <f t="shared" si="71"/>
        <v>5</v>
      </c>
      <c r="L68" s="10">
        <v>7</v>
      </c>
      <c r="M68" s="10"/>
      <c r="N68" s="10">
        <f t="shared" si="101"/>
        <v>7</v>
      </c>
      <c r="O68" s="10">
        <v>5</v>
      </c>
      <c r="P68" s="10"/>
      <c r="Q68" s="10">
        <f t="shared" si="102"/>
        <v>5</v>
      </c>
      <c r="R68" s="10">
        <v>3</v>
      </c>
      <c r="S68" s="10"/>
      <c r="T68" s="10">
        <f t="shared" si="103"/>
        <v>3</v>
      </c>
      <c r="U68" s="10">
        <v>5</v>
      </c>
      <c r="V68" s="10"/>
      <c r="W68" s="10">
        <f t="shared" si="75"/>
        <v>5</v>
      </c>
      <c r="X68" s="10">
        <v>5</v>
      </c>
      <c r="Y68" s="10"/>
      <c r="Z68" s="10">
        <f t="shared" si="104"/>
        <v>5</v>
      </c>
      <c r="AA68" s="10">
        <v>3</v>
      </c>
      <c r="AB68" s="10"/>
      <c r="AC68" s="10">
        <f t="shared" si="105"/>
        <v>3</v>
      </c>
      <c r="AD68" s="10">
        <v>7</v>
      </c>
      <c r="AE68" s="10"/>
      <c r="AF68" s="10">
        <f t="shared" si="78"/>
        <v>3</v>
      </c>
      <c r="AG68" s="10">
        <v>9</v>
      </c>
      <c r="AH68" s="10"/>
      <c r="AI68" s="10">
        <f t="shared" si="106"/>
        <v>9</v>
      </c>
      <c r="AJ68" s="10">
        <v>5</v>
      </c>
      <c r="AK68" s="10"/>
      <c r="AL68" s="10">
        <f t="shared" si="107"/>
        <v>5</v>
      </c>
      <c r="AM68" s="10">
        <v>2</v>
      </c>
      <c r="AN68" s="10"/>
      <c r="AO68" s="10">
        <f t="shared" si="108"/>
        <v>2</v>
      </c>
      <c r="AP68" s="10">
        <v>3</v>
      </c>
      <c r="AQ68" s="10"/>
      <c r="AR68" s="10">
        <f t="shared" si="82"/>
        <v>3</v>
      </c>
      <c r="AS68" s="10">
        <v>5</v>
      </c>
      <c r="AT68" s="10"/>
      <c r="AU68" s="10">
        <f t="shared" si="83"/>
        <v>5</v>
      </c>
      <c r="AV68" s="10">
        <v>5</v>
      </c>
      <c r="AW68" s="10"/>
      <c r="AX68" s="10">
        <f t="shared" si="84"/>
        <v>5</v>
      </c>
      <c r="AY68" s="10">
        <v>8</v>
      </c>
      <c r="AZ68" s="10"/>
      <c r="BA68" s="10">
        <f t="shared" si="85"/>
        <v>8</v>
      </c>
      <c r="BB68" s="10">
        <v>7</v>
      </c>
      <c r="BC68" s="10"/>
      <c r="BD68" s="10">
        <f t="shared" si="86"/>
        <v>7</v>
      </c>
      <c r="BE68" s="10">
        <v>2</v>
      </c>
      <c r="BF68" s="10"/>
      <c r="BG68" s="10">
        <f t="shared" si="87"/>
        <v>2</v>
      </c>
      <c r="BH68" s="10">
        <v>13</v>
      </c>
      <c r="BI68" s="10"/>
      <c r="BJ68" s="10">
        <f t="shared" si="88"/>
        <v>13</v>
      </c>
      <c r="BK68" s="10">
        <v>5</v>
      </c>
      <c r="BL68" s="10"/>
      <c r="BM68" s="10">
        <f t="shared" si="89"/>
        <v>5</v>
      </c>
      <c r="BN68" s="10">
        <v>5</v>
      </c>
      <c r="BO68" s="10"/>
      <c r="BP68" s="10">
        <f t="shared" si="90"/>
        <v>5</v>
      </c>
      <c r="BQ68" s="10">
        <v>7</v>
      </c>
      <c r="BR68" s="10"/>
      <c r="BS68" s="10">
        <f t="shared" si="91"/>
        <v>7</v>
      </c>
      <c r="BT68" s="10">
        <v>3</v>
      </c>
      <c r="BU68" s="10"/>
      <c r="BV68" s="10">
        <f t="shared" si="92"/>
        <v>3</v>
      </c>
      <c r="BW68" s="10">
        <v>10</v>
      </c>
      <c r="BX68" s="10"/>
      <c r="BY68" s="10">
        <f t="shared" si="109"/>
        <v>10</v>
      </c>
      <c r="BZ68" s="10">
        <v>6</v>
      </c>
      <c r="CA68" s="10"/>
      <c r="CB68" s="10">
        <f t="shared" si="110"/>
        <v>6</v>
      </c>
      <c r="CC68" s="10">
        <v>5</v>
      </c>
      <c r="CD68" s="10"/>
      <c r="CE68" s="10">
        <f t="shared" si="111"/>
        <v>5</v>
      </c>
      <c r="CF68" s="10">
        <v>5</v>
      </c>
      <c r="CG68" s="10"/>
      <c r="CH68" s="10">
        <f t="shared" si="96"/>
        <v>5</v>
      </c>
      <c r="CI68" s="10">
        <v>1</v>
      </c>
      <c r="CJ68" s="10"/>
      <c r="CK68" s="10">
        <f t="shared" si="97"/>
        <v>1</v>
      </c>
      <c r="CL68" s="10">
        <v>6</v>
      </c>
      <c r="CM68" s="10"/>
      <c r="CN68" s="10">
        <f t="shared" si="98"/>
        <v>6</v>
      </c>
      <c r="CO68" s="10">
        <v>3</v>
      </c>
      <c r="CP68" s="10"/>
      <c r="CQ68" s="10">
        <f t="shared" si="99"/>
        <v>3</v>
      </c>
      <c r="CR68" s="10">
        <v>3</v>
      </c>
      <c r="CS68" s="10"/>
      <c r="CT68" s="10">
        <f t="shared" si="100"/>
        <v>3</v>
      </c>
      <c r="CU68" s="10">
        <f t="shared" si="112"/>
        <v>167</v>
      </c>
      <c r="CV68" s="2"/>
      <c r="CW68" s="2"/>
      <c r="CX68" s="2"/>
      <c r="CY68" s="2"/>
      <c r="CZ68" s="2"/>
      <c r="DA68" s="2"/>
      <c r="DB68" s="2"/>
      <c r="DC68" s="2"/>
      <c r="DD68" s="2"/>
    </row>
    <row r="69" spans="1:108" x14ac:dyDescent="0.25">
      <c r="A69" s="10" t="s">
        <v>99</v>
      </c>
      <c r="B69" s="10"/>
      <c r="C69" s="10" t="s">
        <v>100</v>
      </c>
      <c r="D69" s="11"/>
      <c r="E69" s="11"/>
      <c r="F69" s="28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>
        <f t="shared" si="85"/>
        <v>0</v>
      </c>
      <c r="BB69" s="10">
        <v>0</v>
      </c>
      <c r="BC69" s="10"/>
      <c r="BD69" s="10">
        <f t="shared" si="86"/>
        <v>0</v>
      </c>
      <c r="BE69" s="10">
        <v>0</v>
      </c>
      <c r="BF69" s="10"/>
      <c r="BG69" s="10">
        <f t="shared" si="87"/>
        <v>0</v>
      </c>
      <c r="BH69" s="10">
        <v>0</v>
      </c>
      <c r="BI69" s="10"/>
      <c r="BJ69" s="10">
        <f t="shared" si="88"/>
        <v>0</v>
      </c>
      <c r="BK69" s="10"/>
      <c r="BL69" s="10"/>
      <c r="BM69" s="10">
        <f t="shared" si="89"/>
        <v>0</v>
      </c>
      <c r="BN69" s="10">
        <v>4</v>
      </c>
      <c r="BO69" s="10"/>
      <c r="BP69" s="10">
        <f t="shared" si="90"/>
        <v>4</v>
      </c>
      <c r="BQ69" s="10">
        <v>1</v>
      </c>
      <c r="BR69" s="10"/>
      <c r="BS69" s="10">
        <f t="shared" si="91"/>
        <v>1</v>
      </c>
      <c r="BT69" s="10"/>
      <c r="BU69" s="10"/>
      <c r="BV69" s="10">
        <f t="shared" si="92"/>
        <v>0</v>
      </c>
      <c r="BW69" s="10">
        <v>1</v>
      </c>
      <c r="BX69" s="10"/>
      <c r="BY69" s="10">
        <f t="shared" si="109"/>
        <v>1</v>
      </c>
      <c r="BZ69" s="10">
        <v>1</v>
      </c>
      <c r="CA69" s="10"/>
      <c r="CB69" s="10">
        <f t="shared" si="110"/>
        <v>1</v>
      </c>
      <c r="CC69" s="10">
        <v>0</v>
      </c>
      <c r="CD69" s="10"/>
      <c r="CE69" s="10">
        <f t="shared" si="111"/>
        <v>0</v>
      </c>
      <c r="CF69" s="10"/>
      <c r="CG69" s="10"/>
      <c r="CH69" s="10">
        <f t="shared" si="96"/>
        <v>0</v>
      </c>
      <c r="CI69" s="10">
        <v>1</v>
      </c>
      <c r="CJ69" s="10"/>
      <c r="CK69" s="10">
        <f t="shared" si="97"/>
        <v>1</v>
      </c>
      <c r="CL69" s="10"/>
      <c r="CM69" s="10"/>
      <c r="CN69" s="10">
        <f t="shared" si="98"/>
        <v>0</v>
      </c>
      <c r="CO69" s="10">
        <v>1</v>
      </c>
      <c r="CP69" s="10"/>
      <c r="CQ69" s="10">
        <f t="shared" si="99"/>
        <v>1</v>
      </c>
      <c r="CR69" s="10">
        <v>2</v>
      </c>
      <c r="CS69" s="10"/>
      <c r="CT69" s="10">
        <f t="shared" si="100"/>
        <v>2</v>
      </c>
      <c r="CU69" s="10">
        <f t="shared" si="112"/>
        <v>11</v>
      </c>
      <c r="CV69" s="2"/>
      <c r="CW69" s="2"/>
      <c r="CX69" s="2"/>
      <c r="CY69" s="2"/>
      <c r="CZ69" s="2"/>
      <c r="DA69" s="2"/>
      <c r="DB69" s="2"/>
      <c r="DC69" s="2"/>
      <c r="DD69" s="2"/>
    </row>
    <row r="70" spans="1:108" x14ac:dyDescent="0.25">
      <c r="A70" s="10" t="s">
        <v>46</v>
      </c>
      <c r="B70" s="10">
        <v>0</v>
      </c>
      <c r="C70" s="10" t="s">
        <v>29</v>
      </c>
      <c r="D70" s="11"/>
      <c r="E70" s="11"/>
      <c r="F70" s="28"/>
      <c r="G70" s="10"/>
      <c r="H70" s="10"/>
      <c r="I70" s="10">
        <v>1</v>
      </c>
      <c r="J70" s="10"/>
      <c r="K70" s="10">
        <f t="shared" si="71"/>
        <v>1</v>
      </c>
      <c r="L70" s="10">
        <v>0</v>
      </c>
      <c r="M70" s="10"/>
      <c r="N70" s="10">
        <f t="shared" si="101"/>
        <v>0</v>
      </c>
      <c r="O70" s="10">
        <v>1</v>
      </c>
      <c r="P70" s="10"/>
      <c r="Q70" s="10">
        <f t="shared" si="102"/>
        <v>1</v>
      </c>
      <c r="R70" s="10">
        <v>0</v>
      </c>
      <c r="S70" s="10"/>
      <c r="T70" s="10">
        <f t="shared" si="103"/>
        <v>0</v>
      </c>
      <c r="U70" s="10"/>
      <c r="V70" s="10"/>
      <c r="W70" s="10">
        <f t="shared" si="75"/>
        <v>0</v>
      </c>
      <c r="X70" s="10">
        <v>0</v>
      </c>
      <c r="Y70" s="10"/>
      <c r="Z70" s="10">
        <f t="shared" si="104"/>
        <v>0</v>
      </c>
      <c r="AA70" s="10">
        <v>1</v>
      </c>
      <c r="AB70" s="10"/>
      <c r="AC70" s="10">
        <f t="shared" si="105"/>
        <v>1</v>
      </c>
      <c r="AD70" s="10">
        <v>1</v>
      </c>
      <c r="AE70" s="10"/>
      <c r="AF70" s="10">
        <f t="shared" si="78"/>
        <v>1</v>
      </c>
      <c r="AG70" s="10">
        <v>0</v>
      </c>
      <c r="AH70" s="10"/>
      <c r="AI70" s="10">
        <f t="shared" si="106"/>
        <v>0</v>
      </c>
      <c r="AJ70" s="10">
        <v>1</v>
      </c>
      <c r="AK70" s="10"/>
      <c r="AL70" s="10">
        <f t="shared" si="107"/>
        <v>1</v>
      </c>
      <c r="AM70" s="10">
        <v>0</v>
      </c>
      <c r="AN70" s="10"/>
      <c r="AO70" s="10">
        <f t="shared" si="108"/>
        <v>0</v>
      </c>
      <c r="AP70" s="10"/>
      <c r="AQ70" s="10"/>
      <c r="AR70" s="10">
        <f t="shared" si="82"/>
        <v>0</v>
      </c>
      <c r="AS70" s="10"/>
      <c r="AT70" s="10"/>
      <c r="AU70" s="10">
        <f t="shared" si="83"/>
        <v>0</v>
      </c>
      <c r="AV70" s="10"/>
      <c r="AW70" s="10"/>
      <c r="AX70" s="10">
        <f t="shared" si="84"/>
        <v>0</v>
      </c>
      <c r="AY70" s="10">
        <v>1</v>
      </c>
      <c r="AZ70" s="10"/>
      <c r="BA70" s="10">
        <f t="shared" si="85"/>
        <v>1</v>
      </c>
      <c r="BB70" s="10">
        <v>1</v>
      </c>
      <c r="BC70" s="10"/>
      <c r="BD70" s="10">
        <f t="shared" si="86"/>
        <v>1</v>
      </c>
      <c r="BE70" s="10">
        <v>0</v>
      </c>
      <c r="BF70" s="10"/>
      <c r="BG70" s="10">
        <f t="shared" si="87"/>
        <v>0</v>
      </c>
      <c r="BH70" s="10">
        <v>0</v>
      </c>
      <c r="BI70" s="10"/>
      <c r="BJ70" s="10">
        <f t="shared" si="88"/>
        <v>0</v>
      </c>
      <c r="BK70" s="10"/>
      <c r="BL70" s="10"/>
      <c r="BM70" s="10">
        <f t="shared" si="89"/>
        <v>0</v>
      </c>
      <c r="BN70" s="10">
        <v>1</v>
      </c>
      <c r="BO70" s="10"/>
      <c r="BP70" s="10">
        <f t="shared" si="90"/>
        <v>1</v>
      </c>
      <c r="BQ70" s="10">
        <v>2</v>
      </c>
      <c r="BR70" s="10"/>
      <c r="BS70" s="10">
        <f t="shared" si="91"/>
        <v>2</v>
      </c>
      <c r="BT70" s="10"/>
      <c r="BU70" s="10"/>
      <c r="BV70" s="10">
        <f t="shared" si="92"/>
        <v>0</v>
      </c>
      <c r="BW70" s="10"/>
      <c r="BX70" s="10"/>
      <c r="BY70" s="10">
        <f t="shared" si="109"/>
        <v>0</v>
      </c>
      <c r="BZ70" s="10"/>
      <c r="CA70" s="10"/>
      <c r="CB70" s="10">
        <f t="shared" si="110"/>
        <v>0</v>
      </c>
      <c r="CC70" s="10"/>
      <c r="CD70" s="10"/>
      <c r="CE70" s="10">
        <f t="shared" si="111"/>
        <v>0</v>
      </c>
      <c r="CF70" s="10">
        <v>1</v>
      </c>
      <c r="CG70" s="10"/>
      <c r="CH70" s="10">
        <f t="shared" si="96"/>
        <v>1</v>
      </c>
      <c r="CI70" s="10"/>
      <c r="CJ70" s="10"/>
      <c r="CK70" s="10">
        <f t="shared" si="97"/>
        <v>0</v>
      </c>
      <c r="CL70" s="10">
        <v>1</v>
      </c>
      <c r="CM70" s="10"/>
      <c r="CN70" s="10">
        <f t="shared" si="98"/>
        <v>1</v>
      </c>
      <c r="CO70" s="10"/>
      <c r="CP70" s="10"/>
      <c r="CQ70" s="10">
        <f t="shared" si="99"/>
        <v>0</v>
      </c>
      <c r="CR70" s="10"/>
      <c r="CS70" s="10"/>
      <c r="CT70" s="10">
        <f t="shared" si="100"/>
        <v>0</v>
      </c>
      <c r="CU70" s="10">
        <f t="shared" si="112"/>
        <v>12</v>
      </c>
      <c r="CV70" s="2"/>
      <c r="CW70" s="2"/>
      <c r="CX70" s="2"/>
      <c r="CY70" s="2"/>
      <c r="CZ70" s="2"/>
      <c r="DA70" s="2"/>
      <c r="DB70" s="2"/>
      <c r="DC70" s="2"/>
      <c r="DD70" s="2"/>
    </row>
    <row r="71" spans="1:108" x14ac:dyDescent="0.25">
      <c r="A71" s="10" t="s">
        <v>47</v>
      </c>
      <c r="B71" s="10">
        <v>6</v>
      </c>
      <c r="C71" s="10" t="s">
        <v>29</v>
      </c>
      <c r="D71" s="11">
        <v>0.75</v>
      </c>
      <c r="E71" s="11">
        <v>0.25</v>
      </c>
      <c r="F71" s="28">
        <v>1</v>
      </c>
      <c r="G71" s="10"/>
      <c r="H71" s="10">
        <f>SUM(F71+G71)</f>
        <v>1</v>
      </c>
      <c r="I71" s="10"/>
      <c r="J71" s="10"/>
      <c r="K71" s="10">
        <f t="shared" si="71"/>
        <v>0</v>
      </c>
      <c r="L71" s="10">
        <v>0</v>
      </c>
      <c r="M71" s="10"/>
      <c r="N71" s="10">
        <f t="shared" si="101"/>
        <v>0</v>
      </c>
      <c r="O71" s="10">
        <v>0</v>
      </c>
      <c r="P71" s="10"/>
      <c r="Q71" s="10">
        <f t="shared" si="102"/>
        <v>0</v>
      </c>
      <c r="R71" s="10">
        <v>1</v>
      </c>
      <c r="S71" s="10"/>
      <c r="T71" s="10">
        <f t="shared" si="103"/>
        <v>1</v>
      </c>
      <c r="U71" s="10">
        <v>2</v>
      </c>
      <c r="V71" s="10"/>
      <c r="W71" s="10">
        <f t="shared" si="75"/>
        <v>2</v>
      </c>
      <c r="X71" s="10">
        <v>3</v>
      </c>
      <c r="Y71" s="10"/>
      <c r="Z71" s="10">
        <f t="shared" si="104"/>
        <v>3</v>
      </c>
      <c r="AA71" s="10">
        <v>0</v>
      </c>
      <c r="AB71" s="10"/>
      <c r="AC71" s="10">
        <f t="shared" si="105"/>
        <v>0</v>
      </c>
      <c r="AD71" s="10">
        <v>5</v>
      </c>
      <c r="AE71" s="10"/>
      <c r="AF71" s="10">
        <f t="shared" si="78"/>
        <v>0</v>
      </c>
      <c r="AG71" s="10">
        <v>0</v>
      </c>
      <c r="AH71" s="10"/>
      <c r="AI71" s="10">
        <f t="shared" si="106"/>
        <v>0</v>
      </c>
      <c r="AJ71" s="10">
        <v>2</v>
      </c>
      <c r="AK71" s="10"/>
      <c r="AL71" s="10">
        <f t="shared" si="107"/>
        <v>2</v>
      </c>
      <c r="AM71" s="10">
        <v>0</v>
      </c>
      <c r="AN71" s="10"/>
      <c r="AO71" s="10">
        <f t="shared" si="108"/>
        <v>0</v>
      </c>
      <c r="AP71" s="10"/>
      <c r="AQ71" s="10"/>
      <c r="AR71" s="10">
        <f t="shared" si="82"/>
        <v>0</v>
      </c>
      <c r="AS71" s="10">
        <v>2</v>
      </c>
      <c r="AT71" s="10"/>
      <c r="AU71" s="10">
        <f t="shared" si="83"/>
        <v>2</v>
      </c>
      <c r="AV71" s="10"/>
      <c r="AW71" s="10"/>
      <c r="AX71" s="10">
        <f t="shared" si="84"/>
        <v>0</v>
      </c>
      <c r="AY71" s="10">
        <v>2</v>
      </c>
      <c r="AZ71" s="10"/>
      <c r="BA71" s="10">
        <f t="shared" si="85"/>
        <v>2</v>
      </c>
      <c r="BB71" s="10">
        <v>1</v>
      </c>
      <c r="BC71" s="10"/>
      <c r="BD71" s="10">
        <f t="shared" si="86"/>
        <v>1</v>
      </c>
      <c r="BE71" s="10">
        <v>4</v>
      </c>
      <c r="BF71" s="10"/>
      <c r="BG71" s="10">
        <f t="shared" si="87"/>
        <v>4</v>
      </c>
      <c r="BH71" s="10">
        <v>4</v>
      </c>
      <c r="BI71" s="10"/>
      <c r="BJ71" s="10">
        <f t="shared" si="88"/>
        <v>4</v>
      </c>
      <c r="BK71" s="10">
        <v>4</v>
      </c>
      <c r="BL71" s="10"/>
      <c r="BM71" s="10">
        <f t="shared" si="89"/>
        <v>4</v>
      </c>
      <c r="BN71" s="10">
        <v>4</v>
      </c>
      <c r="BO71" s="10"/>
      <c r="BP71" s="10">
        <f t="shared" si="90"/>
        <v>4</v>
      </c>
      <c r="BQ71" s="10">
        <v>7</v>
      </c>
      <c r="BR71" s="10"/>
      <c r="BS71" s="10">
        <f t="shared" si="91"/>
        <v>7</v>
      </c>
      <c r="BT71" s="10">
        <v>5</v>
      </c>
      <c r="BU71" s="10"/>
      <c r="BV71" s="10">
        <f t="shared" si="92"/>
        <v>5</v>
      </c>
      <c r="BW71" s="10">
        <v>2</v>
      </c>
      <c r="BX71" s="10"/>
      <c r="BY71" s="10">
        <f t="shared" si="109"/>
        <v>2</v>
      </c>
      <c r="BZ71" s="10">
        <v>13</v>
      </c>
      <c r="CA71" s="10"/>
      <c r="CB71" s="10">
        <f t="shared" si="110"/>
        <v>13</v>
      </c>
      <c r="CC71" s="10">
        <v>8</v>
      </c>
      <c r="CD71" s="10"/>
      <c r="CE71" s="10">
        <f t="shared" si="111"/>
        <v>8</v>
      </c>
      <c r="CF71" s="10">
        <v>5</v>
      </c>
      <c r="CG71" s="10"/>
      <c r="CH71" s="10">
        <f t="shared" si="96"/>
        <v>5</v>
      </c>
      <c r="CI71" s="10">
        <v>1</v>
      </c>
      <c r="CJ71" s="10"/>
      <c r="CK71" s="10">
        <f t="shared" si="97"/>
        <v>1</v>
      </c>
      <c r="CL71" s="10">
        <v>5</v>
      </c>
      <c r="CM71" s="10"/>
      <c r="CN71" s="10">
        <f t="shared" si="98"/>
        <v>5</v>
      </c>
      <c r="CO71" s="10">
        <v>6</v>
      </c>
      <c r="CP71" s="10"/>
      <c r="CQ71" s="10">
        <f t="shared" si="99"/>
        <v>6</v>
      </c>
      <c r="CR71" s="10">
        <v>7</v>
      </c>
      <c r="CS71" s="10"/>
      <c r="CT71" s="10">
        <f t="shared" si="100"/>
        <v>7</v>
      </c>
      <c r="CU71" s="10">
        <f t="shared" si="112"/>
        <v>89</v>
      </c>
      <c r="CV71" s="2"/>
      <c r="CW71" s="2"/>
      <c r="CX71" s="2"/>
      <c r="CY71" s="2"/>
      <c r="CZ71" s="2"/>
      <c r="DA71" s="2"/>
      <c r="DB71" s="2"/>
      <c r="DC71" s="2"/>
      <c r="DD71" s="2"/>
    </row>
    <row r="72" spans="1:108" x14ac:dyDescent="0.25">
      <c r="A72" s="3" t="s">
        <v>7</v>
      </c>
      <c r="B72" s="32">
        <f>SUM(B40:B71)</f>
        <v>238</v>
      </c>
      <c r="C72" s="3"/>
      <c r="D72" s="32"/>
      <c r="E72" s="32"/>
      <c r="F72" s="32">
        <f t="shared" ref="F72:CU72" si="113">SUM(F40:F71)</f>
        <v>62</v>
      </c>
      <c r="G72" s="32">
        <f t="shared" si="113"/>
        <v>0</v>
      </c>
      <c r="H72" s="32">
        <f t="shared" si="113"/>
        <v>62</v>
      </c>
      <c r="I72" s="32">
        <f t="shared" si="113"/>
        <v>45</v>
      </c>
      <c r="J72" s="32">
        <f t="shared" si="113"/>
        <v>0</v>
      </c>
      <c r="K72" s="32">
        <f t="shared" ref="K72:V72" si="114">SUM(K40:K71)</f>
        <v>45</v>
      </c>
      <c r="L72" s="32">
        <f t="shared" si="113"/>
        <v>46</v>
      </c>
      <c r="M72" s="32">
        <f t="shared" si="113"/>
        <v>0</v>
      </c>
      <c r="N72" s="32">
        <f t="shared" si="114"/>
        <v>46</v>
      </c>
      <c r="O72" s="32">
        <f t="shared" si="113"/>
        <v>71</v>
      </c>
      <c r="P72" s="32">
        <f t="shared" si="113"/>
        <v>0</v>
      </c>
      <c r="Q72" s="32">
        <f t="shared" si="114"/>
        <v>71</v>
      </c>
      <c r="R72" s="32">
        <f t="shared" si="113"/>
        <v>64</v>
      </c>
      <c r="S72" s="32">
        <f t="shared" si="113"/>
        <v>0</v>
      </c>
      <c r="T72" s="32">
        <f t="shared" si="114"/>
        <v>64</v>
      </c>
      <c r="U72" s="32">
        <f t="shared" si="114"/>
        <v>59</v>
      </c>
      <c r="V72" s="32">
        <f t="shared" si="114"/>
        <v>0</v>
      </c>
      <c r="W72" s="32">
        <f t="shared" ref="W72:AE72" si="115">SUM(W40:W71)</f>
        <v>59</v>
      </c>
      <c r="X72" s="32">
        <f t="shared" si="115"/>
        <v>51</v>
      </c>
      <c r="Y72" s="32">
        <f t="shared" si="115"/>
        <v>0</v>
      </c>
      <c r="Z72" s="32">
        <f t="shared" si="115"/>
        <v>51</v>
      </c>
      <c r="AA72" s="32">
        <f t="shared" si="115"/>
        <v>52</v>
      </c>
      <c r="AB72" s="32">
        <f t="shared" si="115"/>
        <v>0</v>
      </c>
      <c r="AC72" s="32">
        <f t="shared" si="115"/>
        <v>52</v>
      </c>
      <c r="AD72" s="32">
        <f t="shared" si="115"/>
        <v>47</v>
      </c>
      <c r="AE72" s="32">
        <f t="shared" si="115"/>
        <v>0</v>
      </c>
      <c r="AF72" s="32">
        <f t="shared" ref="AF72:AQ72" si="116">SUM(AF40:AF71)</f>
        <v>52</v>
      </c>
      <c r="AG72" s="32">
        <f t="shared" si="116"/>
        <v>56</v>
      </c>
      <c r="AH72" s="32">
        <f t="shared" si="116"/>
        <v>0</v>
      </c>
      <c r="AI72" s="32">
        <f t="shared" si="116"/>
        <v>56</v>
      </c>
      <c r="AJ72" s="32">
        <f t="shared" si="116"/>
        <v>71</v>
      </c>
      <c r="AK72" s="32">
        <f t="shared" si="116"/>
        <v>0</v>
      </c>
      <c r="AL72" s="32">
        <f t="shared" si="116"/>
        <v>71</v>
      </c>
      <c r="AM72" s="32">
        <f t="shared" si="116"/>
        <v>74</v>
      </c>
      <c r="AN72" s="32">
        <f t="shared" si="116"/>
        <v>0</v>
      </c>
      <c r="AO72" s="32">
        <f t="shared" si="116"/>
        <v>74</v>
      </c>
      <c r="AP72" s="32">
        <f t="shared" si="116"/>
        <v>60</v>
      </c>
      <c r="AQ72" s="32">
        <f t="shared" si="116"/>
        <v>0</v>
      </c>
      <c r="AR72" s="32">
        <f t="shared" ref="AR72:AU72" si="117">SUM(AR40:AR71)</f>
        <v>60</v>
      </c>
      <c r="AS72" s="3">
        <f>SUM(AS40:AS71)</f>
        <v>46</v>
      </c>
      <c r="AT72" s="3">
        <f t="shared" ref="AT72" si="118">SUM(AT40:AT71)</f>
        <v>0</v>
      </c>
      <c r="AU72" s="32">
        <f t="shared" si="117"/>
        <v>46</v>
      </c>
      <c r="AV72" s="32">
        <f>SUM(AV40:AV71)</f>
        <v>79</v>
      </c>
      <c r="AW72" s="32">
        <f t="shared" ref="AW72" si="119">SUM(AW40:AW71)</f>
        <v>0</v>
      </c>
      <c r="AX72" s="32">
        <f t="shared" ref="AX72:BA72" si="120">SUM(AX40:AX71)</f>
        <v>79</v>
      </c>
      <c r="AY72" s="32">
        <v>0</v>
      </c>
      <c r="AZ72" s="32">
        <v>0</v>
      </c>
      <c r="BA72" s="32">
        <f t="shared" si="120"/>
        <v>67</v>
      </c>
      <c r="BB72" s="32">
        <f t="shared" ref="BB72" si="121">SUM(BB40:BB71)</f>
        <v>136</v>
      </c>
      <c r="BC72" s="32">
        <f t="shared" ref="BC72" si="122">SUM(BC40:BC71)</f>
        <v>0</v>
      </c>
      <c r="BD72" s="32">
        <f t="shared" ref="BD72:BL72" si="123">SUM(BD40:BD71)</f>
        <v>136</v>
      </c>
      <c r="BE72" s="32">
        <f t="shared" ref="BE72" si="124">SUM(BE40:BE71)</f>
        <v>146</v>
      </c>
      <c r="BF72" s="32">
        <f t="shared" ref="BF72" si="125">SUM(BF40:BF71)</f>
        <v>0</v>
      </c>
      <c r="BG72" s="32">
        <f t="shared" si="123"/>
        <v>146</v>
      </c>
      <c r="BH72" s="32">
        <f t="shared" ref="BH72" si="126">SUM(BH40:BH71)</f>
        <v>205</v>
      </c>
      <c r="BI72" s="32">
        <f t="shared" ref="BI72" si="127">SUM(BI40:BI71)</f>
        <v>0</v>
      </c>
      <c r="BJ72" s="32">
        <f t="shared" si="123"/>
        <v>205</v>
      </c>
      <c r="BK72" s="32">
        <f t="shared" si="123"/>
        <v>172</v>
      </c>
      <c r="BL72" s="32">
        <f t="shared" si="123"/>
        <v>0</v>
      </c>
      <c r="BM72" s="32">
        <f t="shared" ref="BM72:BR72" si="128">SUM(BM40:BM71)</f>
        <v>172</v>
      </c>
      <c r="BN72" s="32">
        <v>0</v>
      </c>
      <c r="BO72" s="32">
        <v>0</v>
      </c>
      <c r="BP72" s="32">
        <f t="shared" si="128"/>
        <v>195</v>
      </c>
      <c r="BQ72" s="3">
        <f t="shared" si="128"/>
        <v>171</v>
      </c>
      <c r="BR72" s="3">
        <f t="shared" si="128"/>
        <v>0</v>
      </c>
      <c r="BS72" s="32">
        <f t="shared" ref="BS72:BX72" si="129">SUM(BS40:BS71)</f>
        <v>171</v>
      </c>
      <c r="BT72" s="3">
        <f t="shared" si="129"/>
        <v>168</v>
      </c>
      <c r="BU72" s="3">
        <f t="shared" si="129"/>
        <v>0</v>
      </c>
      <c r="BV72" s="32">
        <f t="shared" si="129"/>
        <v>168</v>
      </c>
      <c r="BW72" s="32">
        <f t="shared" si="129"/>
        <v>145</v>
      </c>
      <c r="BX72" s="32">
        <f t="shared" si="129"/>
        <v>0</v>
      </c>
      <c r="BY72" s="32">
        <f t="shared" ref="BY72:CG72" si="130">SUM(BY40:BY71)</f>
        <v>145</v>
      </c>
      <c r="BZ72" s="32">
        <f t="shared" si="130"/>
        <v>185</v>
      </c>
      <c r="CA72" s="32">
        <f t="shared" si="130"/>
        <v>0</v>
      </c>
      <c r="CB72" s="32">
        <f t="shared" si="130"/>
        <v>185</v>
      </c>
      <c r="CC72" s="32">
        <f t="shared" si="130"/>
        <v>199</v>
      </c>
      <c r="CD72" s="32">
        <f t="shared" si="130"/>
        <v>0</v>
      </c>
      <c r="CE72" s="32">
        <f t="shared" si="130"/>
        <v>199</v>
      </c>
      <c r="CF72" s="32">
        <f t="shared" si="130"/>
        <v>194</v>
      </c>
      <c r="CG72" s="32">
        <f t="shared" si="130"/>
        <v>0</v>
      </c>
      <c r="CH72" s="32">
        <f t="shared" ref="CH72:CM72" si="131">SUM(CH40:CH71)</f>
        <v>194</v>
      </c>
      <c r="CI72" s="32">
        <f t="shared" si="131"/>
        <v>174</v>
      </c>
      <c r="CJ72" s="32">
        <f t="shared" si="131"/>
        <v>0</v>
      </c>
      <c r="CK72" s="32">
        <f t="shared" si="131"/>
        <v>174</v>
      </c>
      <c r="CL72" s="32">
        <f t="shared" si="131"/>
        <v>185</v>
      </c>
      <c r="CM72" s="32">
        <f t="shared" si="131"/>
        <v>0</v>
      </c>
      <c r="CN72" s="32">
        <f t="shared" ref="CN72:CS72" si="132">SUM(CN40:CN71)</f>
        <v>185</v>
      </c>
      <c r="CO72" s="32">
        <f t="shared" si="132"/>
        <v>162</v>
      </c>
      <c r="CP72" s="32">
        <f t="shared" si="132"/>
        <v>0</v>
      </c>
      <c r="CQ72" s="32">
        <f t="shared" si="132"/>
        <v>162</v>
      </c>
      <c r="CR72" s="32">
        <f t="shared" si="132"/>
        <v>188</v>
      </c>
      <c r="CS72" s="32">
        <f t="shared" si="132"/>
        <v>0</v>
      </c>
      <c r="CT72" s="32">
        <f t="shared" ref="CT72" si="133">SUM(CT40:CT71)</f>
        <v>188</v>
      </c>
      <c r="CU72" s="3">
        <f t="shared" si="113"/>
        <v>3580</v>
      </c>
      <c r="CV72" s="2"/>
      <c r="CW72" s="2"/>
      <c r="CX72" s="2"/>
      <c r="CY72" s="2"/>
      <c r="CZ72" s="2"/>
      <c r="DA72" s="2"/>
      <c r="DB72" s="2"/>
      <c r="DC72" s="2"/>
      <c r="DD72" s="2"/>
    </row>
    <row r="73" spans="1:10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</row>
    <row r="74" spans="1:108" x14ac:dyDescent="0.25">
      <c r="A74" s="52" t="s">
        <v>50</v>
      </c>
      <c r="B74" s="53"/>
      <c r="C74" s="54"/>
      <c r="D74" s="33"/>
      <c r="E74" s="33"/>
      <c r="F74" s="1"/>
      <c r="G74" s="1"/>
      <c r="H74" s="1" t="s">
        <v>59</v>
      </c>
      <c r="I74" s="1"/>
      <c r="J74" s="1"/>
      <c r="K74" s="1" t="s">
        <v>62</v>
      </c>
      <c r="L74" s="1"/>
      <c r="M74" s="1"/>
      <c r="N74" s="1" t="s">
        <v>65</v>
      </c>
      <c r="O74" s="1"/>
      <c r="P74" s="1"/>
      <c r="Q74" s="1" t="s">
        <v>66</v>
      </c>
      <c r="R74" s="1"/>
      <c r="S74" s="1"/>
      <c r="T74" s="1" t="s">
        <v>67</v>
      </c>
      <c r="U74" s="1"/>
      <c r="V74" s="1"/>
      <c r="W74" s="1" t="s">
        <v>74</v>
      </c>
      <c r="X74" s="1"/>
      <c r="Y74" s="1"/>
      <c r="Z74" s="1" t="s">
        <v>77</v>
      </c>
      <c r="AA74" s="1"/>
      <c r="AB74" s="1"/>
      <c r="AC74" s="1" t="s">
        <v>59</v>
      </c>
      <c r="AD74" s="1"/>
      <c r="AE74" s="1"/>
      <c r="AF74" s="1" t="s">
        <v>62</v>
      </c>
      <c r="AG74" s="1"/>
      <c r="AH74" s="1"/>
      <c r="AI74" s="1" t="s">
        <v>65</v>
      </c>
      <c r="AJ74" s="1"/>
      <c r="AK74" s="1"/>
      <c r="AL74" s="1" t="s">
        <v>66</v>
      </c>
      <c r="AM74" s="1"/>
      <c r="AN74" s="1"/>
      <c r="AO74" s="1" t="s">
        <v>67</v>
      </c>
      <c r="AP74" s="1"/>
      <c r="AQ74" s="1"/>
      <c r="AR74" s="1" t="s">
        <v>74</v>
      </c>
      <c r="AS74" s="1"/>
      <c r="AT74" s="1"/>
      <c r="AU74" s="1" t="s">
        <v>77</v>
      </c>
      <c r="AV74" s="1"/>
      <c r="AW74" s="1"/>
      <c r="AX74" s="1" t="s">
        <v>59</v>
      </c>
      <c r="AY74" s="1"/>
      <c r="AZ74" s="1"/>
      <c r="BA74" s="1" t="s">
        <v>62</v>
      </c>
      <c r="BB74" s="1"/>
      <c r="BC74" s="1"/>
      <c r="BD74" s="1" t="s">
        <v>65</v>
      </c>
      <c r="BE74" s="1"/>
      <c r="BF74" s="1"/>
      <c r="BG74" s="1" t="s">
        <v>66</v>
      </c>
      <c r="BH74" s="1"/>
      <c r="BI74" s="1"/>
      <c r="BJ74" s="1" t="s">
        <v>67</v>
      </c>
      <c r="BK74" s="1"/>
      <c r="BL74" s="1"/>
      <c r="BM74" s="1" t="s">
        <v>74</v>
      </c>
      <c r="BN74" s="1"/>
      <c r="BO74" s="1"/>
      <c r="BP74" s="1" t="s">
        <v>77</v>
      </c>
      <c r="BQ74" s="1"/>
      <c r="BR74" s="1"/>
      <c r="BS74" s="1" t="s">
        <v>59</v>
      </c>
      <c r="BT74" s="1"/>
      <c r="BU74" s="1"/>
      <c r="BV74" s="1" t="s">
        <v>62</v>
      </c>
      <c r="BW74" s="1"/>
      <c r="BX74" s="1"/>
      <c r="BY74" s="1" t="s">
        <v>65</v>
      </c>
      <c r="BZ74" s="1"/>
      <c r="CA74" s="1"/>
      <c r="CB74" s="1" t="s">
        <v>66</v>
      </c>
      <c r="CC74" s="1"/>
      <c r="CD74" s="1"/>
      <c r="CE74" s="1" t="s">
        <v>67</v>
      </c>
      <c r="CF74" s="1"/>
      <c r="CG74" s="1"/>
      <c r="CH74" s="1" t="s">
        <v>74</v>
      </c>
      <c r="CI74" s="1"/>
      <c r="CJ74" s="1"/>
      <c r="CK74" s="1" t="s">
        <v>77</v>
      </c>
      <c r="CL74" s="1"/>
      <c r="CM74" s="1"/>
      <c r="CN74" s="1" t="s">
        <v>59</v>
      </c>
      <c r="CO74" s="1"/>
      <c r="CP74" s="1"/>
      <c r="CQ74" s="1" t="s">
        <v>62</v>
      </c>
      <c r="CR74" s="1"/>
      <c r="CS74" s="1"/>
      <c r="CT74" s="1" t="s">
        <v>65</v>
      </c>
      <c r="CU74" s="34"/>
      <c r="CV74" s="2"/>
      <c r="CW74" s="2"/>
      <c r="CX74" s="2"/>
      <c r="CY74" s="2"/>
      <c r="CZ74" s="2"/>
      <c r="DA74" s="2"/>
      <c r="DB74" s="2"/>
      <c r="DC74" s="2"/>
      <c r="DD74" s="2"/>
    </row>
    <row r="75" spans="1:108" x14ac:dyDescent="0.25">
      <c r="A75" s="55"/>
      <c r="B75" s="56"/>
      <c r="C75" s="57"/>
      <c r="D75" s="35"/>
      <c r="E75" s="35"/>
      <c r="F75" s="6"/>
      <c r="G75" s="6"/>
      <c r="H75" s="6">
        <v>46204</v>
      </c>
      <c r="I75" s="6"/>
      <c r="J75" s="6"/>
      <c r="K75" s="6">
        <v>46205</v>
      </c>
      <c r="L75" s="6"/>
      <c r="M75" s="6"/>
      <c r="N75" s="6">
        <v>46206</v>
      </c>
      <c r="O75" s="6"/>
      <c r="P75" s="6"/>
      <c r="Q75" s="6">
        <v>46207</v>
      </c>
      <c r="R75" s="6"/>
      <c r="S75" s="6"/>
      <c r="T75" s="6">
        <v>46208</v>
      </c>
      <c r="U75" s="6"/>
      <c r="V75" s="6"/>
      <c r="W75" s="6">
        <v>46209</v>
      </c>
      <c r="X75" s="6"/>
      <c r="Y75" s="6"/>
      <c r="Z75" s="6">
        <v>46210</v>
      </c>
      <c r="AA75" s="6"/>
      <c r="AB75" s="6"/>
      <c r="AC75" s="6">
        <v>46211</v>
      </c>
      <c r="AD75" s="6"/>
      <c r="AE75" s="6"/>
      <c r="AF75" s="6">
        <v>46212</v>
      </c>
      <c r="AG75" s="6"/>
      <c r="AH75" s="6"/>
      <c r="AI75" s="6">
        <v>46213</v>
      </c>
      <c r="AJ75" s="6"/>
      <c r="AK75" s="6"/>
      <c r="AL75" s="6">
        <v>46214</v>
      </c>
      <c r="AM75" s="6"/>
      <c r="AN75" s="6"/>
      <c r="AO75" s="6">
        <v>46215</v>
      </c>
      <c r="AP75" s="6"/>
      <c r="AQ75" s="6"/>
      <c r="AR75" s="6">
        <v>46216</v>
      </c>
      <c r="AS75" s="6"/>
      <c r="AT75" s="6"/>
      <c r="AU75" s="6">
        <v>46217</v>
      </c>
      <c r="AV75" s="6"/>
      <c r="AW75" s="6"/>
      <c r="AX75" s="6">
        <v>46218</v>
      </c>
      <c r="AY75" s="6"/>
      <c r="AZ75" s="6"/>
      <c r="BA75" s="6">
        <v>46219</v>
      </c>
      <c r="BB75" s="6"/>
      <c r="BC75" s="6"/>
      <c r="BD75" s="6">
        <v>46220</v>
      </c>
      <c r="BE75" s="6"/>
      <c r="BF75" s="6"/>
      <c r="BG75" s="6">
        <v>46221</v>
      </c>
      <c r="BH75" s="6"/>
      <c r="BI75" s="6"/>
      <c r="BJ75" s="6">
        <v>46222</v>
      </c>
      <c r="BK75" s="6"/>
      <c r="BL75" s="6"/>
      <c r="BM75" s="6">
        <v>46223</v>
      </c>
      <c r="BN75" s="6"/>
      <c r="BO75" s="6"/>
      <c r="BP75" s="6">
        <v>46224</v>
      </c>
      <c r="BQ75" s="6"/>
      <c r="BR75" s="6"/>
      <c r="BS75" s="6">
        <v>46225</v>
      </c>
      <c r="BT75" s="6"/>
      <c r="BU75" s="6"/>
      <c r="BV75" s="6">
        <v>46226</v>
      </c>
      <c r="BW75" s="6"/>
      <c r="BX75" s="6"/>
      <c r="BY75" s="6">
        <v>46227</v>
      </c>
      <c r="BZ75" s="6"/>
      <c r="CA75" s="6"/>
      <c r="CB75" s="6">
        <v>46228</v>
      </c>
      <c r="CC75" s="6"/>
      <c r="CD75" s="6"/>
      <c r="CE75" s="6">
        <v>46229</v>
      </c>
      <c r="CF75" s="6"/>
      <c r="CG75" s="6"/>
      <c r="CH75" s="6">
        <v>46230</v>
      </c>
      <c r="CI75" s="6"/>
      <c r="CJ75" s="6"/>
      <c r="CK75" s="6">
        <v>46231</v>
      </c>
      <c r="CL75" s="6"/>
      <c r="CM75" s="6"/>
      <c r="CN75" s="6">
        <v>46232</v>
      </c>
      <c r="CO75" s="6"/>
      <c r="CP75" s="6"/>
      <c r="CQ75" s="6">
        <v>46233</v>
      </c>
      <c r="CR75" s="6"/>
      <c r="CS75" s="6"/>
      <c r="CT75" s="6">
        <v>46234</v>
      </c>
      <c r="CU75" s="3" t="s">
        <v>7</v>
      </c>
      <c r="CV75" s="2"/>
      <c r="CW75" s="2"/>
      <c r="CX75" s="2"/>
      <c r="CY75" s="2"/>
      <c r="CZ75" s="2"/>
      <c r="DA75" s="2"/>
      <c r="DB75" s="2"/>
      <c r="DC75" s="2"/>
      <c r="DD75" s="2"/>
    </row>
    <row r="76" spans="1:108" x14ac:dyDescent="0.25">
      <c r="A76" s="45" t="s">
        <v>51</v>
      </c>
      <c r="B76" s="46"/>
      <c r="C76" s="47"/>
      <c r="D76" s="36"/>
      <c r="E76" s="36"/>
      <c r="F76" s="16"/>
      <c r="G76" s="16"/>
      <c r="H76" s="16">
        <f>H35</f>
        <v>205</v>
      </c>
      <c r="I76" s="16"/>
      <c r="J76" s="16"/>
      <c r="K76" s="16">
        <f>K35</f>
        <v>147</v>
      </c>
      <c r="L76" s="16"/>
      <c r="M76" s="16"/>
      <c r="N76" s="16">
        <f t="shared" ref="N76:T76" si="134">N35</f>
        <v>148</v>
      </c>
      <c r="O76" s="16"/>
      <c r="P76" s="16"/>
      <c r="Q76" s="16">
        <f t="shared" si="134"/>
        <v>187</v>
      </c>
      <c r="R76" s="16"/>
      <c r="S76" s="16"/>
      <c r="T76" s="16">
        <f t="shared" si="134"/>
        <v>243</v>
      </c>
      <c r="U76" s="16"/>
      <c r="V76" s="16"/>
      <c r="W76" s="16">
        <f t="shared" ref="W76:AC76" si="135">W35</f>
        <v>191</v>
      </c>
      <c r="X76" s="16"/>
      <c r="Y76" s="16"/>
      <c r="Z76" s="16">
        <f t="shared" si="135"/>
        <v>163</v>
      </c>
      <c r="AA76" s="16"/>
      <c r="AB76" s="16"/>
      <c r="AC76" s="16">
        <f t="shared" si="135"/>
        <v>186</v>
      </c>
      <c r="AD76" s="16"/>
      <c r="AE76" s="16"/>
      <c r="AF76" s="16">
        <f t="shared" ref="AF76:AO76" si="136">AF35</f>
        <v>223</v>
      </c>
      <c r="AG76" s="16"/>
      <c r="AH76" s="16"/>
      <c r="AI76" s="16">
        <f t="shared" si="136"/>
        <v>195</v>
      </c>
      <c r="AJ76" s="16"/>
      <c r="AK76" s="16"/>
      <c r="AL76" s="16">
        <f t="shared" si="136"/>
        <v>215</v>
      </c>
      <c r="AM76" s="16"/>
      <c r="AN76" s="16"/>
      <c r="AO76" s="16">
        <f t="shared" si="136"/>
        <v>262</v>
      </c>
      <c r="AP76" s="16"/>
      <c r="AQ76" s="16"/>
      <c r="AR76" s="16">
        <f t="shared" ref="AR76:AU76" si="137">AR35</f>
        <v>188</v>
      </c>
      <c r="AS76" s="16"/>
      <c r="AT76" s="16"/>
      <c r="AU76" s="16">
        <f t="shared" si="137"/>
        <v>150</v>
      </c>
      <c r="AV76" s="16"/>
      <c r="AW76" s="16"/>
      <c r="AX76" s="16">
        <f t="shared" ref="AX76:BA76" si="138">AX35</f>
        <v>206</v>
      </c>
      <c r="AY76" s="16"/>
      <c r="AZ76" s="16"/>
      <c r="BA76" s="16">
        <f t="shared" si="138"/>
        <v>212</v>
      </c>
      <c r="BB76" s="16"/>
      <c r="BC76" s="16"/>
      <c r="BD76" s="16">
        <f t="shared" ref="BD76:BJ76" si="139">BD35</f>
        <v>253</v>
      </c>
      <c r="BE76" s="16"/>
      <c r="BF76" s="16"/>
      <c r="BG76" s="16">
        <f t="shared" si="139"/>
        <v>274</v>
      </c>
      <c r="BH76" s="16"/>
      <c r="BI76" s="16"/>
      <c r="BJ76" s="16">
        <f t="shared" si="139"/>
        <v>363</v>
      </c>
      <c r="BK76" s="16"/>
      <c r="BL76" s="16"/>
      <c r="BM76" s="16">
        <f t="shared" ref="BM76:BP76" si="140">BM35</f>
        <v>323</v>
      </c>
      <c r="BN76" s="16"/>
      <c r="BO76" s="16"/>
      <c r="BP76" s="16">
        <f t="shared" si="140"/>
        <v>401</v>
      </c>
      <c r="BQ76" s="16"/>
      <c r="BR76" s="16"/>
      <c r="BS76" s="16">
        <f t="shared" ref="BS76:BV76" si="141">BS35</f>
        <v>355</v>
      </c>
      <c r="BT76" s="16"/>
      <c r="BU76" s="16"/>
      <c r="BV76" s="16">
        <f t="shared" si="141"/>
        <v>315</v>
      </c>
      <c r="BW76" s="16"/>
      <c r="BX76" s="16"/>
      <c r="BY76" s="16">
        <f t="shared" ref="BY76:CE76" si="142">BY35</f>
        <v>269</v>
      </c>
      <c r="BZ76" s="16"/>
      <c r="CA76" s="16"/>
      <c r="CB76" s="16">
        <f t="shared" si="142"/>
        <v>350</v>
      </c>
      <c r="CC76" s="16"/>
      <c r="CD76" s="16"/>
      <c r="CE76" s="16">
        <f t="shared" si="142"/>
        <v>392</v>
      </c>
      <c r="CF76" s="16"/>
      <c r="CG76" s="16"/>
      <c r="CH76" s="16">
        <f t="shared" ref="CH76:CK76" si="143">CH35</f>
        <v>395</v>
      </c>
      <c r="CI76" s="16"/>
      <c r="CJ76" s="16"/>
      <c r="CK76" s="16">
        <f t="shared" si="143"/>
        <v>353</v>
      </c>
      <c r="CL76" s="16"/>
      <c r="CM76" s="16"/>
      <c r="CN76" s="16">
        <f t="shared" ref="CN76:CQ76" si="144">CN35</f>
        <v>305</v>
      </c>
      <c r="CO76" s="16"/>
      <c r="CP76" s="16"/>
      <c r="CQ76" s="16">
        <f t="shared" si="144"/>
        <v>333</v>
      </c>
      <c r="CR76" s="16"/>
      <c r="CS76" s="16"/>
      <c r="CT76" s="16">
        <f t="shared" ref="CT76" si="145">CT35</f>
        <v>420</v>
      </c>
      <c r="CU76" s="10">
        <f>H76+K76+N76+Q76+T76+W76+Z76+AC76+AF76+AI76+AL76+AO76+AR76+AU76+AX76+BA76+BD76+BG76+BJ76+BM76+BP76+BS76+BV76+BY76+CB76+CE76+CH76+CK76+CN76+CQ76+CT76</f>
        <v>8222</v>
      </c>
      <c r="CV76" s="2"/>
      <c r="CW76" s="2"/>
      <c r="CX76" s="2"/>
      <c r="CY76" s="2"/>
      <c r="CZ76" s="2"/>
      <c r="DA76" s="2"/>
      <c r="DB76" s="2"/>
      <c r="DC76" s="2"/>
      <c r="DD76" s="2"/>
    </row>
    <row r="77" spans="1:108" x14ac:dyDescent="0.25">
      <c r="A77" s="45" t="s">
        <v>52</v>
      </c>
      <c r="B77" s="46"/>
      <c r="C77" s="47"/>
      <c r="D77" s="36"/>
      <c r="E77" s="36"/>
      <c r="F77" s="16"/>
      <c r="G77" s="16"/>
      <c r="H77" s="16">
        <f>H72</f>
        <v>62</v>
      </c>
      <c r="I77" s="16"/>
      <c r="J77" s="16"/>
      <c r="K77" s="16">
        <f>K72</f>
        <v>45</v>
      </c>
      <c r="L77" s="16"/>
      <c r="M77" s="16"/>
      <c r="N77" s="16">
        <f t="shared" ref="N77:T77" si="146">N72</f>
        <v>46</v>
      </c>
      <c r="O77" s="16"/>
      <c r="P77" s="16"/>
      <c r="Q77" s="16">
        <f t="shared" si="146"/>
        <v>71</v>
      </c>
      <c r="R77" s="16"/>
      <c r="S77" s="16"/>
      <c r="T77" s="16">
        <f t="shared" si="146"/>
        <v>64</v>
      </c>
      <c r="U77" s="16"/>
      <c r="V77" s="16"/>
      <c r="W77" s="16">
        <f t="shared" ref="W77:AC77" si="147">W72</f>
        <v>59</v>
      </c>
      <c r="X77" s="16"/>
      <c r="Y77" s="16"/>
      <c r="Z77" s="16">
        <f t="shared" si="147"/>
        <v>51</v>
      </c>
      <c r="AA77" s="16"/>
      <c r="AB77" s="16"/>
      <c r="AC77" s="16">
        <f t="shared" si="147"/>
        <v>52</v>
      </c>
      <c r="AD77" s="16"/>
      <c r="AE77" s="16"/>
      <c r="AF77" s="16">
        <f t="shared" ref="AF77:AO77" si="148">AF72</f>
        <v>52</v>
      </c>
      <c r="AG77" s="16"/>
      <c r="AH77" s="16"/>
      <c r="AI77" s="16">
        <f t="shared" si="148"/>
        <v>56</v>
      </c>
      <c r="AJ77" s="16"/>
      <c r="AK77" s="16"/>
      <c r="AL77" s="16">
        <f t="shared" si="148"/>
        <v>71</v>
      </c>
      <c r="AM77" s="16"/>
      <c r="AN77" s="16"/>
      <c r="AO77" s="16">
        <f t="shared" si="148"/>
        <v>74</v>
      </c>
      <c r="AP77" s="16"/>
      <c r="AQ77" s="16"/>
      <c r="AR77" s="16">
        <f t="shared" ref="AR77:AU77" si="149">AR72</f>
        <v>60</v>
      </c>
      <c r="AS77" s="16"/>
      <c r="AT77" s="16"/>
      <c r="AU77" s="16">
        <f t="shared" si="149"/>
        <v>46</v>
      </c>
      <c r="AV77" s="16"/>
      <c r="AW77" s="16"/>
      <c r="AX77" s="16">
        <f t="shared" ref="AX77:BA77" si="150">AX72</f>
        <v>79</v>
      </c>
      <c r="AY77" s="16"/>
      <c r="AZ77" s="16"/>
      <c r="BA77" s="16">
        <f t="shared" si="150"/>
        <v>67</v>
      </c>
      <c r="BB77" s="16"/>
      <c r="BC77" s="16"/>
      <c r="BD77" s="16">
        <f t="shared" ref="BD77:BJ77" si="151">BD72</f>
        <v>136</v>
      </c>
      <c r="BE77" s="16"/>
      <c r="BF77" s="16"/>
      <c r="BG77" s="16">
        <f t="shared" si="151"/>
        <v>146</v>
      </c>
      <c r="BH77" s="16"/>
      <c r="BI77" s="16"/>
      <c r="BJ77" s="16">
        <f t="shared" si="151"/>
        <v>205</v>
      </c>
      <c r="BK77" s="16"/>
      <c r="BL77" s="16"/>
      <c r="BM77" s="16">
        <f t="shared" ref="BM77:BP77" si="152">BM72</f>
        <v>172</v>
      </c>
      <c r="BN77" s="16"/>
      <c r="BO77" s="16"/>
      <c r="BP77" s="16">
        <f t="shared" si="152"/>
        <v>195</v>
      </c>
      <c r="BQ77" s="16"/>
      <c r="BR77" s="16"/>
      <c r="BS77" s="16">
        <f t="shared" ref="BS77:BV77" si="153">BS72</f>
        <v>171</v>
      </c>
      <c r="BT77" s="16"/>
      <c r="BU77" s="16"/>
      <c r="BV77" s="16">
        <f t="shared" si="153"/>
        <v>168</v>
      </c>
      <c r="BW77" s="16"/>
      <c r="BX77" s="16"/>
      <c r="BY77" s="16">
        <f t="shared" ref="BY77:CE77" si="154">BY72</f>
        <v>145</v>
      </c>
      <c r="BZ77" s="16"/>
      <c r="CA77" s="16"/>
      <c r="CB77" s="16">
        <f t="shared" si="154"/>
        <v>185</v>
      </c>
      <c r="CC77" s="16"/>
      <c r="CD77" s="16"/>
      <c r="CE77" s="16">
        <f t="shared" si="154"/>
        <v>199</v>
      </c>
      <c r="CF77" s="16"/>
      <c r="CG77" s="16"/>
      <c r="CH77" s="16">
        <f t="shared" ref="CH77:CK77" si="155">CH72</f>
        <v>194</v>
      </c>
      <c r="CI77" s="16"/>
      <c r="CJ77" s="16"/>
      <c r="CK77" s="16">
        <f t="shared" si="155"/>
        <v>174</v>
      </c>
      <c r="CL77" s="16"/>
      <c r="CM77" s="16"/>
      <c r="CN77" s="16">
        <f t="shared" ref="CN77:CQ77" si="156">CN72</f>
        <v>185</v>
      </c>
      <c r="CO77" s="16"/>
      <c r="CP77" s="16"/>
      <c r="CQ77" s="16">
        <f t="shared" si="156"/>
        <v>162</v>
      </c>
      <c r="CR77" s="16"/>
      <c r="CS77" s="16"/>
      <c r="CT77" s="16">
        <f t="shared" ref="CT77" si="157">CT72</f>
        <v>188</v>
      </c>
      <c r="CU77" s="10">
        <f>H77+K77+N77+Q77+T77+W77+Z77+AC77+AF77+AI77+AL77+AO77+AR77+AU77+AX77+BA77+BD77+BG77+BJ77+BM77+BP77+BS77+BV77+BY77+CB77+CE77+CH77+CK77+CN77+CQ77+CT77</f>
        <v>3580</v>
      </c>
      <c r="CV77" s="2"/>
      <c r="CW77" s="2"/>
      <c r="CX77" s="2"/>
      <c r="CY77" s="2"/>
      <c r="CZ77" s="2"/>
      <c r="DA77" s="2"/>
      <c r="DB77" s="2"/>
      <c r="DC77" s="2"/>
      <c r="DD77" s="2"/>
    </row>
    <row r="78" spans="1:108" x14ac:dyDescent="0.25">
      <c r="A78" s="45" t="s">
        <v>53</v>
      </c>
      <c r="B78" s="46"/>
      <c r="C78" s="47"/>
      <c r="D78" s="36"/>
      <c r="E78" s="36"/>
      <c r="F78" s="37"/>
      <c r="G78" s="37"/>
      <c r="H78" s="37">
        <f>H77/H76</f>
        <v>0.30243902439024389</v>
      </c>
      <c r="I78" s="37"/>
      <c r="J78" s="37"/>
      <c r="K78" s="37">
        <f>K77/K76</f>
        <v>0.30612244897959184</v>
      </c>
      <c r="L78" s="37"/>
      <c r="M78" s="37"/>
      <c r="N78" s="37">
        <f t="shared" ref="N78:T78" si="158">N77/N76</f>
        <v>0.3108108108108108</v>
      </c>
      <c r="O78" s="37"/>
      <c r="P78" s="37"/>
      <c r="Q78" s="37">
        <f t="shared" si="158"/>
        <v>0.37967914438502676</v>
      </c>
      <c r="R78" s="37"/>
      <c r="S78" s="37"/>
      <c r="T78" s="37">
        <f t="shared" si="158"/>
        <v>0.26337448559670784</v>
      </c>
      <c r="U78" s="37"/>
      <c r="V78" s="37"/>
      <c r="W78" s="37">
        <f t="shared" ref="W78:AC78" si="159">W77/W76</f>
        <v>0.30890052356020942</v>
      </c>
      <c r="X78" s="37"/>
      <c r="Y78" s="37"/>
      <c r="Z78" s="37">
        <f t="shared" si="159"/>
        <v>0.31288343558282211</v>
      </c>
      <c r="AA78" s="37"/>
      <c r="AB78" s="37"/>
      <c r="AC78" s="37">
        <f t="shared" si="159"/>
        <v>0.27956989247311825</v>
      </c>
      <c r="AD78" s="37"/>
      <c r="AE78" s="37"/>
      <c r="AF78" s="37">
        <f t="shared" ref="AF78:AO78" si="160">AF77/AF76</f>
        <v>0.23318385650224216</v>
      </c>
      <c r="AG78" s="37"/>
      <c r="AH78" s="37"/>
      <c r="AI78" s="37">
        <f t="shared" si="160"/>
        <v>0.28717948717948716</v>
      </c>
      <c r="AJ78" s="37"/>
      <c r="AK78" s="37"/>
      <c r="AL78" s="37">
        <f t="shared" si="160"/>
        <v>0.33023255813953489</v>
      </c>
      <c r="AM78" s="37"/>
      <c r="AN78" s="37"/>
      <c r="AO78" s="37">
        <f t="shared" si="160"/>
        <v>0.28244274809160308</v>
      </c>
      <c r="AP78" s="37"/>
      <c r="AQ78" s="37"/>
      <c r="AR78" s="37">
        <f t="shared" ref="AR78:AU78" si="161">AR77/AR76</f>
        <v>0.31914893617021278</v>
      </c>
      <c r="AS78" s="37"/>
      <c r="AT78" s="37"/>
      <c r="AU78" s="37">
        <f t="shared" si="161"/>
        <v>0.30666666666666664</v>
      </c>
      <c r="AV78" s="37"/>
      <c r="AW78" s="37"/>
      <c r="AX78" s="37">
        <f t="shared" ref="AX78:BA78" si="162">AX77/AX76</f>
        <v>0.38349514563106796</v>
      </c>
      <c r="AY78" s="37"/>
      <c r="AZ78" s="37"/>
      <c r="BA78" s="37">
        <f t="shared" si="162"/>
        <v>0.31603773584905659</v>
      </c>
      <c r="BB78" s="37"/>
      <c r="BC78" s="37"/>
      <c r="BD78" s="37">
        <f t="shared" ref="BD78:BJ78" si="163">BD77/BD76</f>
        <v>0.53754940711462451</v>
      </c>
      <c r="BE78" s="37"/>
      <c r="BF78" s="37"/>
      <c r="BG78" s="37">
        <f t="shared" si="163"/>
        <v>0.53284671532846717</v>
      </c>
      <c r="BH78" s="37"/>
      <c r="BI78" s="37"/>
      <c r="BJ78" s="37">
        <f t="shared" si="163"/>
        <v>0.56473829201101933</v>
      </c>
      <c r="BK78" s="37"/>
      <c r="BL78" s="37"/>
      <c r="BM78" s="37">
        <f t="shared" ref="BM78:BP78" si="164">BM77/BM76</f>
        <v>0.53250773993808054</v>
      </c>
      <c r="BN78" s="37"/>
      <c r="BO78" s="37"/>
      <c r="BP78" s="37">
        <f t="shared" si="164"/>
        <v>0.486284289276808</v>
      </c>
      <c r="BQ78" s="37"/>
      <c r="BR78" s="37"/>
      <c r="BS78" s="37">
        <f t="shared" ref="BS78:BV78" si="165">BS77/BS76</f>
        <v>0.48169014084507045</v>
      </c>
      <c r="BT78" s="37"/>
      <c r="BU78" s="37"/>
      <c r="BV78" s="37">
        <f t="shared" si="165"/>
        <v>0.53333333333333333</v>
      </c>
      <c r="BW78" s="37"/>
      <c r="BX78" s="37"/>
      <c r="BY78" s="37">
        <f t="shared" ref="BY78:CE78" si="166">BY77/BY76</f>
        <v>0.53903345724907059</v>
      </c>
      <c r="BZ78" s="37"/>
      <c r="CA78" s="37"/>
      <c r="CB78" s="37">
        <f t="shared" si="166"/>
        <v>0.52857142857142858</v>
      </c>
      <c r="CC78" s="37"/>
      <c r="CD78" s="37"/>
      <c r="CE78" s="37">
        <f t="shared" si="166"/>
        <v>0.50765306122448983</v>
      </c>
      <c r="CF78" s="37"/>
      <c r="CG78" s="37"/>
      <c r="CH78" s="37">
        <f t="shared" ref="CH78:CK78" si="167">CH77/CH76</f>
        <v>0.49113924050632912</v>
      </c>
      <c r="CI78" s="37"/>
      <c r="CJ78" s="37"/>
      <c r="CK78" s="37">
        <f t="shared" si="167"/>
        <v>0.49291784702549574</v>
      </c>
      <c r="CL78" s="37"/>
      <c r="CM78" s="37"/>
      <c r="CN78" s="37">
        <f t="shared" ref="CN78:CQ78" si="168">CN77/CN76</f>
        <v>0.60655737704918034</v>
      </c>
      <c r="CO78" s="37"/>
      <c r="CP78" s="37"/>
      <c r="CQ78" s="37">
        <f t="shared" si="168"/>
        <v>0.48648648648648651</v>
      </c>
      <c r="CR78" s="37"/>
      <c r="CS78" s="37"/>
      <c r="CT78" s="37">
        <f t="shared" ref="CT78" si="169">CT77/CT76</f>
        <v>0.44761904761904764</v>
      </c>
      <c r="CU78" s="37">
        <f t="shared" ref="CU78" si="170">CU77/CU76</f>
        <v>0.43541717343711994</v>
      </c>
      <c r="CV78" s="2"/>
      <c r="CW78" s="2"/>
      <c r="CX78" s="2"/>
      <c r="CY78" s="2"/>
      <c r="CZ78" s="2"/>
      <c r="DA78" s="2"/>
      <c r="DB78" s="2"/>
      <c r="DC78" s="2"/>
      <c r="DD78" s="2"/>
    </row>
    <row r="79" spans="1:10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</row>
    <row r="80" spans="1:10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</row>
    <row r="81" spans="1:108" ht="15.75" x14ac:dyDescent="0.25">
      <c r="A81" s="38" t="s">
        <v>54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</row>
    <row r="82" spans="1:108" x14ac:dyDescent="0.25">
      <c r="A82" s="39" t="s">
        <v>55</v>
      </c>
      <c r="B82" s="39">
        <f>SUM(CU3:CU14)</f>
        <v>3081</v>
      </c>
      <c r="C82" s="40">
        <f>B82/B84</f>
        <v>0.37472634395524201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</row>
    <row r="83" spans="1:108" x14ac:dyDescent="0.25">
      <c r="A83" s="41" t="s">
        <v>56</v>
      </c>
      <c r="B83" s="41">
        <f>SUM(CU15:CU34)</f>
        <v>5141</v>
      </c>
      <c r="C83" s="42">
        <f>B83/B84</f>
        <v>0.62527365604475793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</row>
    <row r="84" spans="1:108" x14ac:dyDescent="0.25">
      <c r="A84" s="43" t="s">
        <v>57</v>
      </c>
      <c r="B84" s="43">
        <f>SUBTOTAL(9,B82:B83)</f>
        <v>8222</v>
      </c>
      <c r="C84" s="44">
        <f>C82+C83</f>
        <v>1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</row>
  </sheetData>
  <mergeCells count="8">
    <mergeCell ref="A77:C77"/>
    <mergeCell ref="A78:C78"/>
    <mergeCell ref="A1:C1"/>
    <mergeCell ref="D1:E1"/>
    <mergeCell ref="A38:C38"/>
    <mergeCell ref="D38:E38"/>
    <mergeCell ref="A74:C75"/>
    <mergeCell ref="A76:C76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Myntra-July26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Negi</dc:creator>
  <cp:lastModifiedBy>IT 17</cp:lastModifiedBy>
  <dcterms:created xsi:type="dcterms:W3CDTF">2015-06-05T18:17:20Z</dcterms:created>
  <dcterms:modified xsi:type="dcterms:W3CDTF">2026-08-03T04:15:42Z</dcterms:modified>
</cp:coreProperties>
</file>