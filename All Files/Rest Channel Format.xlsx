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nn\Desktop\Sale Analytics Tool\"/>
    </mc:Choice>
  </mc:AlternateContent>
  <xr:revisionPtr revIDLastSave="0" documentId="13_ncr:1_{93F2AA9D-FF55-4601-87F1-55A83E0AF32B}" xr6:coauthVersionLast="47" xr6:coauthVersionMax="47" xr10:uidLastSave="{00000000-0000-0000-0000-000000000000}"/>
  <bookViews>
    <workbookView xWindow="-120" yWindow="-120" windowWidth="20730" windowHeight="11760" xr2:uid="{48F6694D-9EF7-48A2-845F-D4ADB987D1F3}"/>
  </bookViews>
  <sheets>
    <sheet name="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1" l="1"/>
  <c r="G78" i="1"/>
  <c r="G64" i="1"/>
  <c r="G70" i="1"/>
  <c r="G41" i="1"/>
  <c r="G42" i="1"/>
  <c r="G43" i="1"/>
  <c r="G44" i="1"/>
  <c r="G45" i="1"/>
  <c r="G46" i="1"/>
  <c r="G47" i="1"/>
  <c r="G48" i="1"/>
  <c r="G49" i="1"/>
  <c r="G50" i="1"/>
  <c r="G51" i="1"/>
  <c r="I14" i="1" s="1"/>
  <c r="G53" i="1"/>
  <c r="G54" i="1"/>
  <c r="G55" i="1"/>
  <c r="G56" i="1"/>
  <c r="G57" i="1"/>
  <c r="G58" i="1"/>
  <c r="G59" i="1"/>
  <c r="G60" i="1"/>
  <c r="G61" i="1"/>
  <c r="G62" i="1"/>
  <c r="G63" i="1"/>
  <c r="I26" i="1" s="1"/>
  <c r="G65" i="1"/>
  <c r="I27" i="1" s="1"/>
  <c r="G66" i="1"/>
  <c r="G67" i="1"/>
  <c r="G68" i="1"/>
  <c r="I31" i="1" s="1"/>
  <c r="G69" i="1"/>
  <c r="G71" i="1"/>
  <c r="I33" i="1" s="1"/>
  <c r="G72" i="1"/>
  <c r="I34" i="1" s="1"/>
  <c r="G6" i="1"/>
  <c r="G9" i="1"/>
  <c r="G10" i="1"/>
  <c r="G11" i="1"/>
  <c r="G14" i="1"/>
  <c r="G17" i="1"/>
  <c r="G19" i="1"/>
  <c r="G22" i="1"/>
  <c r="G25" i="1"/>
  <c r="G26" i="1"/>
  <c r="G27" i="1"/>
  <c r="G28" i="1"/>
  <c r="G31" i="1"/>
  <c r="G34" i="1"/>
  <c r="G3" i="1"/>
  <c r="G18" i="1"/>
  <c r="G52" i="1"/>
  <c r="J33" i="1" l="1"/>
  <c r="J27" i="1"/>
  <c r="J26" i="1"/>
  <c r="J34" i="1"/>
  <c r="I4" i="1"/>
  <c r="I17" i="1"/>
  <c r="J17" i="1" s="1"/>
  <c r="I21" i="1"/>
  <c r="I25" i="1"/>
  <c r="J25" i="1" s="1"/>
  <c r="I30" i="1"/>
  <c r="I16" i="1"/>
  <c r="I5" i="1"/>
  <c r="I9" i="1"/>
  <c r="J9" i="1" s="1"/>
  <c r="I13" i="1"/>
  <c r="G5" i="1"/>
  <c r="G13" i="1"/>
  <c r="G21" i="1"/>
  <c r="G30" i="1"/>
  <c r="I6" i="1"/>
  <c r="J6" i="1" s="1"/>
  <c r="I10" i="1"/>
  <c r="J10" i="1" s="1"/>
  <c r="I15" i="1"/>
  <c r="I23" i="1"/>
  <c r="F36" i="1"/>
  <c r="F77" i="1" s="1"/>
  <c r="E73" i="1"/>
  <c r="E78" i="1" s="1"/>
  <c r="I7" i="1"/>
  <c r="I11" i="1"/>
  <c r="J11" i="1" s="1"/>
  <c r="I28" i="1"/>
  <c r="J28" i="1" s="1"/>
  <c r="I8" i="1"/>
  <c r="G4" i="1"/>
  <c r="G12" i="1"/>
  <c r="G20" i="1"/>
  <c r="G29" i="1"/>
  <c r="I20" i="1"/>
  <c r="I24" i="1"/>
  <c r="I29" i="1"/>
  <c r="I35" i="1"/>
  <c r="G7" i="1"/>
  <c r="G15" i="1"/>
  <c r="G23" i="1"/>
  <c r="G32" i="1"/>
  <c r="J14" i="1"/>
  <c r="I18" i="1"/>
  <c r="J18" i="1" s="1"/>
  <c r="I22" i="1"/>
  <c r="J22" i="1" s="1"/>
  <c r="E36" i="1"/>
  <c r="E77" i="1" s="1"/>
  <c r="J31" i="1"/>
  <c r="F73" i="1"/>
  <c r="F78" i="1" s="1"/>
  <c r="G8" i="1"/>
  <c r="G16" i="1"/>
  <c r="G24" i="1"/>
  <c r="G35" i="1"/>
  <c r="I12" i="1"/>
  <c r="I19" i="1"/>
  <c r="J19" i="1" s="1"/>
  <c r="I32" i="1"/>
  <c r="G40" i="1"/>
  <c r="J5" i="1" l="1"/>
  <c r="J4" i="1"/>
  <c r="J30" i="1"/>
  <c r="J16" i="1"/>
  <c r="J29" i="1"/>
  <c r="J23" i="1"/>
  <c r="J20" i="1"/>
  <c r="J13" i="1"/>
  <c r="J21" i="1"/>
  <c r="G77" i="1"/>
  <c r="J8" i="1"/>
  <c r="F79" i="1"/>
  <c r="J12" i="1"/>
  <c r="E79" i="1"/>
  <c r="B83" i="1"/>
  <c r="G36" i="1"/>
  <c r="H33" i="1" s="1"/>
  <c r="B84" i="1"/>
  <c r="J32" i="1"/>
  <c r="J35" i="1"/>
  <c r="J7" i="1"/>
  <c r="J24" i="1"/>
  <c r="J15" i="1"/>
  <c r="I3" i="1"/>
  <c r="G73" i="1"/>
  <c r="H26" i="1" l="1"/>
  <c r="H27" i="1"/>
  <c r="H34" i="1"/>
  <c r="H16" i="1"/>
  <c r="H20" i="1"/>
  <c r="H24" i="1"/>
  <c r="H3" i="1"/>
  <c r="H23" i="1"/>
  <c r="H8" i="1"/>
  <c r="H21" i="1"/>
  <c r="H15" i="1"/>
  <c r="H6" i="1"/>
  <c r="H18" i="1"/>
  <c r="H29" i="1"/>
  <c r="H31" i="1"/>
  <c r="H10" i="1"/>
  <c r="H17" i="1"/>
  <c r="H35" i="1"/>
  <c r="H12" i="1"/>
  <c r="H4" i="1"/>
  <c r="H19" i="1"/>
  <c r="H32" i="1"/>
  <c r="H7" i="1"/>
  <c r="G79" i="1"/>
  <c r="B85" i="1"/>
  <c r="C84" i="1" s="1"/>
  <c r="H5" i="1"/>
  <c r="H11" i="1"/>
  <c r="H28" i="1"/>
  <c r="H22" i="1"/>
  <c r="H13" i="1"/>
  <c r="H25" i="1"/>
  <c r="H30" i="1"/>
  <c r="H9" i="1"/>
  <c r="H14" i="1"/>
  <c r="I36" i="1"/>
  <c r="J36" i="1" s="1"/>
  <c r="J3" i="1"/>
  <c r="H36" i="1" l="1"/>
  <c r="C83" i="1"/>
  <c r="C85" i="1" s="1"/>
</calcChain>
</file>

<file path=xl/sharedStrings.xml><?xml version="1.0" encoding="utf-8"?>
<sst xmlns="http://schemas.openxmlformats.org/spreadsheetml/2006/main" count="175" uniqueCount="62">
  <si>
    <t>Category Level</t>
  </si>
  <si>
    <t>Category</t>
  </si>
  <si>
    <t>Division</t>
  </si>
  <si>
    <t>Grand Total</t>
  </si>
  <si>
    <t>Share %</t>
  </si>
  <si>
    <t>BALLERINAS</t>
  </si>
  <si>
    <t>Footwear</t>
  </si>
  <si>
    <t>CASUAL SHOES</t>
  </si>
  <si>
    <t>MOULDS</t>
  </si>
  <si>
    <t>FLIP FLOPS</t>
  </si>
  <si>
    <t>TOP</t>
  </si>
  <si>
    <t>Apparel</t>
  </si>
  <si>
    <t>BOOTS</t>
  </si>
  <si>
    <t>JACKET</t>
  </si>
  <si>
    <t>DRESS</t>
  </si>
  <si>
    <t>SWEATER</t>
  </si>
  <si>
    <t>SPORTS SHOES</t>
  </si>
  <si>
    <t>SHORTS</t>
  </si>
  <si>
    <t>TROUSERS</t>
  </si>
  <si>
    <t>JEANS</t>
  </si>
  <si>
    <t>SHIRT</t>
  </si>
  <si>
    <t>T-SHIRT</t>
  </si>
  <si>
    <t>New Styles Units</t>
  </si>
  <si>
    <t>Total</t>
  </si>
  <si>
    <t>Day Level New Style Contribution</t>
  </si>
  <si>
    <t>Total Unit Sold</t>
  </si>
  <si>
    <t>New Style Units sold</t>
  </si>
  <si>
    <t>New Contr.Share (%)</t>
  </si>
  <si>
    <t>Division Level</t>
  </si>
  <si>
    <t>Size Ratio Percentage</t>
  </si>
  <si>
    <t>Larger Size %</t>
  </si>
  <si>
    <t>Smaller Size %</t>
  </si>
  <si>
    <t>New Style</t>
  </si>
  <si>
    <t>New Cont.</t>
  </si>
  <si>
    <t>New Style Listed</t>
  </si>
  <si>
    <t>Sales on New Styles</t>
  </si>
  <si>
    <t>New Styles In Process</t>
  </si>
  <si>
    <t>FOOTWEAR</t>
  </si>
  <si>
    <t>CANVAS SHOES</t>
  </si>
  <si>
    <t>FASHION SANDALS</t>
  </si>
  <si>
    <t>LYCRA SHOES</t>
  </si>
  <si>
    <t>SLIDES</t>
  </si>
  <si>
    <t>SPORTS SANDALS</t>
  </si>
  <si>
    <t>BOOTIES</t>
  </si>
  <si>
    <t>APPAREL</t>
  </si>
  <si>
    <t>DUNGAREE</t>
  </si>
  <si>
    <t>SKIRT</t>
  </si>
  <si>
    <t>SWEATSHIRT</t>
  </si>
  <si>
    <t>POLO T-SHIRT</t>
  </si>
  <si>
    <t>LOWER</t>
  </si>
  <si>
    <t>JUMPSUIT</t>
  </si>
  <si>
    <t>BERMUDA</t>
  </si>
  <si>
    <t>ROMPER</t>
  </si>
  <si>
    <t>CLOTHING SET</t>
  </si>
  <si>
    <t>Accessories</t>
  </si>
  <si>
    <t>TOY</t>
  </si>
  <si>
    <t>Saturday</t>
  </si>
  <si>
    <t>Sunday</t>
  </si>
  <si>
    <t>1 August.</t>
  </si>
  <si>
    <t>2 August.</t>
  </si>
  <si>
    <t>JEGGING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</si>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</sst>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92D050"/>
        <bgColor rgb="FF92D050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2" borderId="3" xfId="0" applyFont="1" applyFill="1" applyBorder="1"/>
    <xf numFmtId="0" fontId="6" fillId="4" borderId="3" xfId="0" applyFont="1" applyFill="1" applyBorder="1"/>
    <xf numFmtId="0" fontId="6" fillId="4" borderId="3" xfId="0" applyFont="1" applyFill="1" applyBorder="1" applyAlignment="1">
      <alignment horizontal="center"/>
    </xf>
    <xf numFmtId="0" fontId="6" fillId="2" borderId="3" xfId="0" applyFont="1" applyFill="1" applyBorder="1"/>
    <xf numFmtId="0" fontId="6" fillId="2" borderId="3" xfId="0" applyFont="1" applyFill="1" applyBorder="1" applyAlignment="1">
      <alignment horizontal="center"/>
    </xf>
    <xf numFmtId="0" fontId="6" fillId="5" borderId="3" xfId="0" applyFont="1" applyFill="1" applyBorder="1"/>
    <xf numFmtId="0" fontId="6" fillId="5" borderId="3" xfId="0" applyFont="1" applyFill="1" applyBorder="1" applyAlignment="1">
      <alignment horizontal="center"/>
    </xf>
    <xf numFmtId="9" fontId="6" fillId="5" borderId="3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4" fontId="8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9" fontId="5" fillId="6" borderId="9" xfId="0" applyNumberFormat="1" applyFont="1" applyFill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9" fontId="3" fillId="3" borderId="3" xfId="0" applyNumberFormat="1" applyFont="1" applyFill="1" applyBorder="1" applyAlignment="1">
      <alignment horizontal="center" vertical="center"/>
    </xf>
    <xf numFmtId="10" fontId="3" fillId="3" borderId="3" xfId="0" applyNumberFormat="1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2" xfId="0" applyFont="1" applyBorder="1"/>
    <xf numFmtId="0" fontId="9" fillId="0" borderId="5" xfId="0" applyFont="1" applyBorder="1"/>
    <xf numFmtId="9" fontId="3" fillId="0" borderId="3" xfId="0" applyNumberFormat="1" applyFont="1" applyBorder="1" applyAlignment="1">
      <alignment horizontal="center" vertical="center"/>
    </xf>
    <xf numFmtId="9" fontId="6" fillId="4" borderId="3" xfId="0" applyNumberFormat="1" applyFont="1" applyFill="1" applyBorder="1" applyAlignment="1">
      <alignment horizontal="center"/>
    </xf>
    <xf numFmtId="9" fontId="6" fillId="2" borderId="3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2" fillId="0" borderId="10" xfId="0" applyFont="1" applyBorder="1"/>
    <xf numFmtId="0" fontId="2" fillId="0" borderId="5" xfId="0" applyFont="1" applyBorder="1"/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1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EB5B-F55F-4A5D-ACAB-1BBD219EB888}">
  <dimension ref="A1:M285"/>
  <sheetViews>
    <sheetView tabSelected="1" zoomScale="85" zoomScaleNormal="85" workbookViewId="0">
      <selection activeCell="L11" sqref="L11"/>
    </sheetView>
  </sheetViews>
  <sheetFormatPr defaultColWidth="14.42578125" defaultRowHeight="15" x14ac:dyDescent="0.25"/>
  <cols>
    <col min="1" max="1" width="18.42578125" customWidth="1"/>
    <col min="2" max="2" width="12" customWidth="1"/>
    <col min="3" max="3" width="13.42578125" customWidth="1"/>
    <col min="4" max="4" width="14" customWidth="1"/>
    <col min="5" max="5" width="14.140625" customWidth="1"/>
    <col min="6" max="6" width="14" customWidth="1"/>
    <col min="7" max="7" width="13.5703125" customWidth="1"/>
    <col min="8" max="8" width="10.42578125" customWidth="1"/>
    <col min="9" max="9" width="10.42578125" bestFit="1" customWidth="1"/>
    <col min="10" max="10" width="10.7109375" customWidth="1"/>
    <col min="11" max="11" width="16" bestFit="1" customWidth="1"/>
    <col min="12" max="12" width="19.140625" bestFit="1" customWidth="1"/>
    <col min="13" max="13" width="19.7109375" customWidth="1"/>
    <col min="14" max="14" width="21" customWidth="1"/>
  </cols>
  <sheetData>
    <row r="1" spans="1:13" ht="15.75" customHeight="1" x14ac:dyDescent="0.25">
      <c r="A1" s="40" t="s">
        <v>0</v>
      </c>
      <c r="B1" s="41"/>
      <c r="C1" s="42" t="s">
        <v>29</v>
      </c>
      <c r="D1" s="43"/>
      <c r="E1" s="14" t="s">
        <v>56</v>
      </c>
      <c r="F1" s="14" t="s">
        <v>57</v>
      </c>
    </row>
    <row r="2" spans="1:13" ht="30.75" customHeight="1" x14ac:dyDescent="0.25">
      <c r="A2" s="2" t="s">
        <v>1</v>
      </c>
      <c r="B2" s="15" t="s">
        <v>2</v>
      </c>
      <c r="C2" s="3" t="s">
        <v>30</v>
      </c>
      <c r="D2" s="3" t="s">
        <v>31</v>
      </c>
      <c r="E2" s="16" t="s">
        <v>58</v>
      </c>
      <c r="F2" s="16" t="s">
        <v>59</v>
      </c>
      <c r="G2" s="17" t="s">
        <v>3</v>
      </c>
      <c r="H2" s="2" t="s">
        <v>4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</row>
    <row r="3" spans="1:13" x14ac:dyDescent="0.25">
      <c r="A3" s="22" t="s">
        <v>5</v>
      </c>
      <c r="B3" s="18" t="s">
        <v>37</v>
      </c>
      <c r="C3" s="19">
        <v>0.69767441860465118</v>
      </c>
      <c r="D3" s="19">
        <v>0.30232558139534882</v>
      </c>
      <c r="E3" s="18">
        <v>5</v>
      </c>
      <c r="F3" s="18">
        <v>5</v>
      </c>
      <c r="G3" s="18">
        <f t="shared" ref="G3:G35" si="0">SUM(E3+F3)</f>
        <v>10</v>
      </c>
      <c r="H3" s="20">
        <f t="shared" ref="H3:H35" si="1">G3/$G$36</f>
        <v>1.9960079840319361E-2</v>
      </c>
      <c r="I3" s="18">
        <f t="shared" ref="I3:I26" si="2">G40</f>
        <v>1</v>
      </c>
      <c r="J3" s="21">
        <f t="shared" ref="J3:J36" si="3">I3/G3</f>
        <v>0.1</v>
      </c>
      <c r="K3" s="18"/>
      <c r="L3" s="18"/>
      <c r="M3" s="18"/>
    </row>
    <row r="4" spans="1:13" x14ac:dyDescent="0.25">
      <c r="A4" s="22" t="s">
        <v>12</v>
      </c>
      <c r="B4" s="18" t="s">
        <v>37</v>
      </c>
      <c r="C4" s="19">
        <v>1</v>
      </c>
      <c r="D4" s="19">
        <v>0</v>
      </c>
      <c r="E4" s="18">
        <v>1</v>
      </c>
      <c r="F4" s="18">
        <v>1</v>
      </c>
      <c r="G4" s="18">
        <f t="shared" si="0"/>
        <v>2</v>
      </c>
      <c r="H4" s="20">
        <f t="shared" si="1"/>
        <v>3.9920159680638719E-3</v>
      </c>
      <c r="I4" s="18">
        <f t="shared" si="2"/>
        <v>0</v>
      </c>
      <c r="J4" s="21">
        <f t="shared" si="3"/>
        <v>0</v>
      </c>
      <c r="K4" s="18"/>
      <c r="L4" s="18"/>
      <c r="M4" s="18"/>
    </row>
    <row r="5" spans="1:13" x14ac:dyDescent="0.25">
      <c r="A5" s="22" t="s">
        <v>38</v>
      </c>
      <c r="B5" s="18" t="s">
        <v>37</v>
      </c>
      <c r="C5" s="19">
        <v>1</v>
      </c>
      <c r="D5" s="19">
        <v>0</v>
      </c>
      <c r="E5" s="18">
        <v>0</v>
      </c>
      <c r="F5" s="18">
        <v>1</v>
      </c>
      <c r="G5" s="18">
        <f t="shared" si="0"/>
        <v>1</v>
      </c>
      <c r="H5" s="20">
        <f t="shared" si="1"/>
        <v>1.996007984031936E-3</v>
      </c>
      <c r="I5" s="18">
        <f t="shared" si="2"/>
        <v>0</v>
      </c>
      <c r="J5" s="21">
        <f t="shared" si="3"/>
        <v>0</v>
      </c>
      <c r="K5" s="18"/>
      <c r="L5" s="18"/>
      <c r="M5" s="18"/>
    </row>
    <row r="6" spans="1:13" x14ac:dyDescent="0.25">
      <c r="A6" s="22" t="s">
        <v>7</v>
      </c>
      <c r="B6" s="18" t="s">
        <v>37</v>
      </c>
      <c r="C6" s="19">
        <v>0.41666666666666669</v>
      </c>
      <c r="D6" s="19">
        <v>0.58333333333333337</v>
      </c>
      <c r="E6" s="18">
        <v>6</v>
      </c>
      <c r="F6" s="18">
        <v>7</v>
      </c>
      <c r="G6" s="18">
        <f t="shared" si="0"/>
        <v>13</v>
      </c>
      <c r="H6" s="20">
        <f t="shared" si="1"/>
        <v>2.5948103792415168E-2</v>
      </c>
      <c r="I6" s="18">
        <f t="shared" si="2"/>
        <v>8</v>
      </c>
      <c r="J6" s="21">
        <f t="shared" si="3"/>
        <v>0.61538461538461542</v>
      </c>
      <c r="K6" s="18"/>
      <c r="L6" s="18"/>
      <c r="M6" s="18"/>
    </row>
    <row r="7" spans="1:13" x14ac:dyDescent="0.25">
      <c r="A7" s="22" t="s">
        <v>39</v>
      </c>
      <c r="B7" s="18" t="s">
        <v>37</v>
      </c>
      <c r="C7" s="19">
        <v>0.74285714285714288</v>
      </c>
      <c r="D7" s="19">
        <v>0.25714285714285712</v>
      </c>
      <c r="E7" s="18">
        <v>9</v>
      </c>
      <c r="F7" s="18">
        <v>10</v>
      </c>
      <c r="G7" s="18">
        <f t="shared" si="0"/>
        <v>19</v>
      </c>
      <c r="H7" s="20">
        <f t="shared" si="1"/>
        <v>3.7924151696606789E-2</v>
      </c>
      <c r="I7" s="18">
        <f t="shared" si="2"/>
        <v>1</v>
      </c>
      <c r="J7" s="21">
        <f t="shared" si="3"/>
        <v>5.2631578947368418E-2</v>
      </c>
      <c r="K7" s="23"/>
      <c r="L7" s="23"/>
      <c r="M7" s="18"/>
    </row>
    <row r="8" spans="1:13" x14ac:dyDescent="0.25">
      <c r="A8" s="22" t="s">
        <v>9</v>
      </c>
      <c r="B8" s="18" t="s">
        <v>37</v>
      </c>
      <c r="C8" s="19">
        <v>0.5714285714285714</v>
      </c>
      <c r="D8" s="19">
        <v>0.42857142857142855</v>
      </c>
      <c r="E8" s="18">
        <v>7</v>
      </c>
      <c r="F8" s="18">
        <v>5</v>
      </c>
      <c r="G8" s="18">
        <f t="shared" si="0"/>
        <v>12</v>
      </c>
      <c r="H8" s="20">
        <f t="shared" si="1"/>
        <v>2.3952095808383235E-2</v>
      </c>
      <c r="I8" s="18">
        <f t="shared" si="2"/>
        <v>6</v>
      </c>
      <c r="J8" s="21">
        <f t="shared" si="3"/>
        <v>0.5</v>
      </c>
      <c r="K8" s="23"/>
      <c r="L8" s="23"/>
      <c r="M8" s="18"/>
    </row>
    <row r="9" spans="1:13" x14ac:dyDescent="0.25">
      <c r="A9" s="22" t="s">
        <v>40</v>
      </c>
      <c r="B9" s="18" t="s">
        <v>37</v>
      </c>
      <c r="C9" s="19"/>
      <c r="D9" s="19"/>
      <c r="E9" s="18"/>
      <c r="F9" s="18"/>
      <c r="G9" s="18">
        <f t="shared" si="0"/>
        <v>0</v>
      </c>
      <c r="H9" s="20">
        <f t="shared" si="1"/>
        <v>0</v>
      </c>
      <c r="I9" s="18">
        <f t="shared" si="2"/>
        <v>0</v>
      </c>
      <c r="J9" s="21" t="e">
        <f t="shared" si="3"/>
        <v>#DIV/0!</v>
      </c>
      <c r="K9" s="23"/>
      <c r="L9" s="23"/>
      <c r="M9" s="18"/>
    </row>
    <row r="10" spans="1:13" x14ac:dyDescent="0.25">
      <c r="A10" s="22" t="s">
        <v>8</v>
      </c>
      <c r="B10" s="18" t="s">
        <v>37</v>
      </c>
      <c r="C10" s="19">
        <v>0.77777777777777779</v>
      </c>
      <c r="D10" s="19">
        <v>0.22222222222222221</v>
      </c>
      <c r="E10" s="18">
        <v>18</v>
      </c>
      <c r="F10" s="18">
        <v>15</v>
      </c>
      <c r="G10" s="18">
        <f t="shared" si="0"/>
        <v>33</v>
      </c>
      <c r="H10" s="20">
        <f t="shared" si="1"/>
        <v>6.5868263473053898E-2</v>
      </c>
      <c r="I10" s="18">
        <f t="shared" si="2"/>
        <v>0</v>
      </c>
      <c r="J10" s="21">
        <f t="shared" si="3"/>
        <v>0</v>
      </c>
      <c r="K10" s="23"/>
      <c r="L10" s="23"/>
      <c r="M10" s="23"/>
    </row>
    <row r="11" spans="1:13" x14ac:dyDescent="0.25">
      <c r="A11" s="22" t="s">
        <v>41</v>
      </c>
      <c r="B11" s="18" t="s">
        <v>37</v>
      </c>
      <c r="C11" s="19"/>
      <c r="D11" s="19"/>
      <c r="E11" s="18"/>
      <c r="F11" s="18"/>
      <c r="G11" s="18">
        <f t="shared" si="0"/>
        <v>0</v>
      </c>
      <c r="H11" s="20">
        <f t="shared" si="1"/>
        <v>0</v>
      </c>
      <c r="I11" s="18">
        <f t="shared" si="2"/>
        <v>0</v>
      </c>
      <c r="J11" s="21" t="e">
        <f t="shared" si="3"/>
        <v>#DIV/0!</v>
      </c>
      <c r="K11" s="23"/>
      <c r="L11" s="23"/>
      <c r="M11" s="23"/>
    </row>
    <row r="12" spans="1:13" x14ac:dyDescent="0.25">
      <c r="A12" s="22" t="s">
        <v>42</v>
      </c>
      <c r="B12" s="18" t="s">
        <v>37</v>
      </c>
      <c r="C12" s="19"/>
      <c r="D12" s="19"/>
      <c r="E12" s="18">
        <v>2</v>
      </c>
      <c r="F12" s="18">
        <v>0</v>
      </c>
      <c r="G12" s="18">
        <f t="shared" si="0"/>
        <v>2</v>
      </c>
      <c r="H12" s="20">
        <f t="shared" si="1"/>
        <v>3.9920159680638719E-3</v>
      </c>
      <c r="I12" s="18">
        <f t="shared" si="2"/>
        <v>0</v>
      </c>
      <c r="J12" s="21">
        <f t="shared" si="3"/>
        <v>0</v>
      </c>
      <c r="K12" s="24"/>
      <c r="L12" s="24"/>
      <c r="M12" s="24"/>
    </row>
    <row r="13" spans="1:13" x14ac:dyDescent="0.25">
      <c r="A13" s="22" t="s">
        <v>16</v>
      </c>
      <c r="B13" s="18" t="s">
        <v>37</v>
      </c>
      <c r="C13" s="19">
        <v>0.90909090909090906</v>
      </c>
      <c r="D13" s="19">
        <v>9.0909090909090912E-2</v>
      </c>
      <c r="E13" s="18">
        <v>4</v>
      </c>
      <c r="F13" s="18">
        <v>10</v>
      </c>
      <c r="G13" s="18">
        <f t="shared" si="0"/>
        <v>14</v>
      </c>
      <c r="H13" s="20">
        <f t="shared" si="1"/>
        <v>2.7944111776447105E-2</v>
      </c>
      <c r="I13" s="18">
        <f t="shared" si="2"/>
        <v>2</v>
      </c>
      <c r="J13" s="21">
        <f t="shared" si="3"/>
        <v>0.14285714285714285</v>
      </c>
      <c r="K13" s="24"/>
      <c r="L13" s="24"/>
      <c r="M13" s="24"/>
    </row>
    <row r="14" spans="1:13" x14ac:dyDescent="0.25">
      <c r="A14" s="22" t="s">
        <v>43</v>
      </c>
      <c r="B14" s="18" t="s">
        <v>37</v>
      </c>
      <c r="C14" s="19"/>
      <c r="D14" s="19"/>
      <c r="E14" s="18">
        <v>11</v>
      </c>
      <c r="F14" s="18">
        <v>19</v>
      </c>
      <c r="G14" s="18">
        <f t="shared" si="0"/>
        <v>30</v>
      </c>
      <c r="H14" s="20">
        <f t="shared" si="1"/>
        <v>5.9880239520958084E-2</v>
      </c>
      <c r="I14" s="18">
        <f t="shared" si="2"/>
        <v>0</v>
      </c>
      <c r="J14" s="21">
        <f t="shared" si="3"/>
        <v>0</v>
      </c>
      <c r="K14" s="24"/>
      <c r="L14" s="24"/>
      <c r="M14" s="24"/>
    </row>
    <row r="15" spans="1:13" x14ac:dyDescent="0.25">
      <c r="A15" s="22" t="s">
        <v>14</v>
      </c>
      <c r="B15" s="18" t="s">
        <v>44</v>
      </c>
      <c r="C15" s="19">
        <v>0.5714285714285714</v>
      </c>
      <c r="D15" s="19">
        <v>0.42857142857142855</v>
      </c>
      <c r="E15" s="18">
        <v>11</v>
      </c>
      <c r="F15" s="18">
        <v>13</v>
      </c>
      <c r="G15" s="18">
        <f t="shared" si="0"/>
        <v>24</v>
      </c>
      <c r="H15" s="20">
        <f t="shared" si="1"/>
        <v>4.790419161676647E-2</v>
      </c>
      <c r="I15" s="18">
        <f t="shared" si="2"/>
        <v>19</v>
      </c>
      <c r="J15" s="21">
        <f t="shared" si="3"/>
        <v>0.79166666666666663</v>
      </c>
      <c r="K15" s="23"/>
      <c r="L15" s="23"/>
      <c r="M15" s="18"/>
    </row>
    <row r="16" spans="1:13" x14ac:dyDescent="0.25">
      <c r="A16" s="22" t="s">
        <v>45</v>
      </c>
      <c r="B16" s="18" t="s">
        <v>44</v>
      </c>
      <c r="C16" s="19"/>
      <c r="D16" s="19"/>
      <c r="E16" s="18"/>
      <c r="F16" s="18"/>
      <c r="G16" s="18">
        <f t="shared" si="0"/>
        <v>0</v>
      </c>
      <c r="H16" s="20">
        <f t="shared" si="1"/>
        <v>0</v>
      </c>
      <c r="I16" s="18">
        <f t="shared" si="2"/>
        <v>0</v>
      </c>
      <c r="J16" s="21" t="e">
        <f t="shared" si="3"/>
        <v>#DIV/0!</v>
      </c>
      <c r="K16" s="23"/>
      <c r="L16" s="23"/>
      <c r="M16" s="18"/>
    </row>
    <row r="17" spans="1:13" x14ac:dyDescent="0.25">
      <c r="A17" s="22" t="s">
        <v>13</v>
      </c>
      <c r="B17" s="18" t="s">
        <v>44</v>
      </c>
      <c r="C17" s="19"/>
      <c r="D17" s="19"/>
      <c r="E17" s="18"/>
      <c r="F17" s="18"/>
      <c r="G17" s="18">
        <f t="shared" si="0"/>
        <v>0</v>
      </c>
      <c r="H17" s="20">
        <f t="shared" si="1"/>
        <v>0</v>
      </c>
      <c r="I17" s="18">
        <f t="shared" si="2"/>
        <v>0</v>
      </c>
      <c r="J17" s="21" t="e">
        <f t="shared" si="3"/>
        <v>#DIV/0!</v>
      </c>
      <c r="K17" s="23"/>
      <c r="L17" s="23"/>
      <c r="M17" s="18"/>
    </row>
    <row r="18" spans="1:13" x14ac:dyDescent="0.25">
      <c r="A18" s="22" t="s">
        <v>20</v>
      </c>
      <c r="B18" s="18" t="s">
        <v>44</v>
      </c>
      <c r="C18" s="19">
        <v>1</v>
      </c>
      <c r="D18" s="19">
        <v>0</v>
      </c>
      <c r="E18" s="18">
        <v>33</v>
      </c>
      <c r="F18" s="18">
        <v>33</v>
      </c>
      <c r="G18" s="18">
        <f t="shared" si="0"/>
        <v>66</v>
      </c>
      <c r="H18" s="20">
        <f t="shared" si="1"/>
        <v>0.1317365269461078</v>
      </c>
      <c r="I18" s="18">
        <f t="shared" si="2"/>
        <v>45</v>
      </c>
      <c r="J18" s="21">
        <f t="shared" si="3"/>
        <v>0.68181818181818177</v>
      </c>
      <c r="K18" s="23"/>
      <c r="L18" s="23"/>
      <c r="M18" s="23"/>
    </row>
    <row r="19" spans="1:13" x14ac:dyDescent="0.25">
      <c r="A19" s="22" t="s">
        <v>46</v>
      </c>
      <c r="B19" s="18" t="s">
        <v>44</v>
      </c>
      <c r="C19" s="19"/>
      <c r="D19" s="19"/>
      <c r="E19" s="18">
        <v>0</v>
      </c>
      <c r="F19" s="18">
        <v>2</v>
      </c>
      <c r="G19" s="18">
        <f t="shared" si="0"/>
        <v>2</v>
      </c>
      <c r="H19" s="20">
        <f t="shared" si="1"/>
        <v>3.9920159680638719E-3</v>
      </c>
      <c r="I19" s="18">
        <f t="shared" si="2"/>
        <v>2</v>
      </c>
      <c r="J19" s="21">
        <f t="shared" si="3"/>
        <v>1</v>
      </c>
      <c r="K19" s="23"/>
      <c r="L19" s="23"/>
      <c r="M19" s="23"/>
    </row>
    <row r="20" spans="1:13" x14ac:dyDescent="0.25">
      <c r="A20" s="22" t="s">
        <v>15</v>
      </c>
      <c r="B20" s="18" t="s">
        <v>44</v>
      </c>
      <c r="C20" s="19">
        <v>0.61538461538461542</v>
      </c>
      <c r="D20" s="19">
        <v>0.38461538461538464</v>
      </c>
      <c r="E20" s="18"/>
      <c r="F20" s="18"/>
      <c r="G20" s="18">
        <f t="shared" si="0"/>
        <v>0</v>
      </c>
      <c r="H20" s="20">
        <f t="shared" si="1"/>
        <v>0</v>
      </c>
      <c r="I20" s="18">
        <f t="shared" si="2"/>
        <v>0</v>
      </c>
      <c r="J20" s="21" t="e">
        <f t="shared" si="3"/>
        <v>#DIV/0!</v>
      </c>
      <c r="K20" s="24"/>
      <c r="L20" s="24"/>
      <c r="M20" s="24"/>
    </row>
    <row r="21" spans="1:13" ht="15.75" customHeight="1" x14ac:dyDescent="0.25">
      <c r="A21" s="22" t="s">
        <v>47</v>
      </c>
      <c r="B21" s="18" t="s">
        <v>44</v>
      </c>
      <c r="C21" s="19">
        <v>1</v>
      </c>
      <c r="D21" s="19">
        <v>0</v>
      </c>
      <c r="E21" s="18"/>
      <c r="F21" s="18"/>
      <c r="G21" s="18">
        <f t="shared" si="0"/>
        <v>0</v>
      </c>
      <c r="H21" s="20">
        <f t="shared" si="1"/>
        <v>0</v>
      </c>
      <c r="I21" s="18">
        <f t="shared" si="2"/>
        <v>0</v>
      </c>
      <c r="J21" s="21" t="e">
        <f t="shared" si="3"/>
        <v>#DIV/0!</v>
      </c>
      <c r="K21" s="24"/>
      <c r="L21" s="24"/>
      <c r="M21" s="24"/>
    </row>
    <row r="22" spans="1:13" ht="15.75" customHeight="1" x14ac:dyDescent="0.25">
      <c r="A22" s="22" t="s">
        <v>10</v>
      </c>
      <c r="B22" s="18" t="s">
        <v>44</v>
      </c>
      <c r="C22" s="19"/>
      <c r="D22" s="19"/>
      <c r="E22" s="18">
        <v>16</v>
      </c>
      <c r="F22" s="18">
        <v>18</v>
      </c>
      <c r="G22" s="18">
        <f t="shared" si="0"/>
        <v>34</v>
      </c>
      <c r="H22" s="20">
        <f t="shared" si="1"/>
        <v>6.7864271457085831E-2</v>
      </c>
      <c r="I22" s="18">
        <f t="shared" si="2"/>
        <v>14</v>
      </c>
      <c r="J22" s="21">
        <f t="shared" si="3"/>
        <v>0.41176470588235292</v>
      </c>
      <c r="K22" s="24"/>
      <c r="L22" s="24"/>
      <c r="M22" s="24"/>
    </row>
    <row r="23" spans="1:13" ht="15.75" customHeight="1" x14ac:dyDescent="0.25">
      <c r="A23" s="22" t="s">
        <v>18</v>
      </c>
      <c r="B23" s="18" t="s">
        <v>44</v>
      </c>
      <c r="C23" s="19">
        <v>0.78010471204188481</v>
      </c>
      <c r="D23" s="19">
        <v>0.21989528795811519</v>
      </c>
      <c r="E23" s="18">
        <v>9</v>
      </c>
      <c r="F23" s="18">
        <v>5</v>
      </c>
      <c r="G23" s="18">
        <f t="shared" si="0"/>
        <v>14</v>
      </c>
      <c r="H23" s="20">
        <f t="shared" si="1"/>
        <v>2.7944111776447105E-2</v>
      </c>
      <c r="I23" s="18">
        <f t="shared" si="2"/>
        <v>0</v>
      </c>
      <c r="J23" s="21">
        <f t="shared" si="3"/>
        <v>0</v>
      </c>
      <c r="K23" s="24"/>
      <c r="L23" s="24"/>
      <c r="M23" s="24"/>
    </row>
    <row r="24" spans="1:13" ht="15.75" customHeight="1" x14ac:dyDescent="0.25">
      <c r="A24" s="22" t="s">
        <v>48</v>
      </c>
      <c r="B24" s="18" t="s">
        <v>44</v>
      </c>
      <c r="C24" s="19"/>
      <c r="D24" s="19"/>
      <c r="E24" s="18">
        <v>2</v>
      </c>
      <c r="F24" s="18">
        <v>1</v>
      </c>
      <c r="G24" s="18">
        <f t="shared" si="0"/>
        <v>3</v>
      </c>
      <c r="H24" s="20">
        <f t="shared" si="1"/>
        <v>5.9880239520958087E-3</v>
      </c>
      <c r="I24" s="18">
        <f t="shared" si="2"/>
        <v>2</v>
      </c>
      <c r="J24" s="21">
        <f t="shared" si="3"/>
        <v>0.66666666666666663</v>
      </c>
      <c r="K24" s="24"/>
      <c r="L24" s="24"/>
      <c r="M24" s="24"/>
    </row>
    <row r="25" spans="1:13" ht="15.75" customHeight="1" x14ac:dyDescent="0.25">
      <c r="A25" s="22" t="s">
        <v>21</v>
      </c>
      <c r="B25" s="18" t="s">
        <v>44</v>
      </c>
      <c r="C25" s="19">
        <v>0.83333333333333337</v>
      </c>
      <c r="D25" s="19">
        <v>0.16666666666666666</v>
      </c>
      <c r="E25" s="18">
        <v>12</v>
      </c>
      <c r="F25" s="18">
        <v>9</v>
      </c>
      <c r="G25" s="18">
        <f t="shared" si="0"/>
        <v>21</v>
      </c>
      <c r="H25" s="20">
        <f t="shared" si="1"/>
        <v>4.1916167664670656E-2</v>
      </c>
      <c r="I25" s="18">
        <f t="shared" si="2"/>
        <v>6</v>
      </c>
      <c r="J25" s="21">
        <f t="shared" si="3"/>
        <v>0.2857142857142857</v>
      </c>
      <c r="K25" s="24"/>
      <c r="L25" s="24"/>
      <c r="M25" s="24"/>
    </row>
    <row r="26" spans="1:13" ht="15.75" customHeight="1" x14ac:dyDescent="0.25">
      <c r="A26" s="22" t="s">
        <v>19</v>
      </c>
      <c r="B26" s="18" t="s">
        <v>44</v>
      </c>
      <c r="C26" s="19">
        <v>0.8</v>
      </c>
      <c r="D26" s="19">
        <v>0.2</v>
      </c>
      <c r="E26" s="18">
        <v>88</v>
      </c>
      <c r="F26" s="18">
        <v>69</v>
      </c>
      <c r="G26" s="18">
        <f t="shared" si="0"/>
        <v>157</v>
      </c>
      <c r="H26" s="20">
        <f t="shared" si="1"/>
        <v>0.31337325349301398</v>
      </c>
      <c r="I26" s="18">
        <f t="shared" si="2"/>
        <v>139</v>
      </c>
      <c r="J26" s="21">
        <f t="shared" ref="J26" si="4">I26/G26</f>
        <v>0.88535031847133761</v>
      </c>
      <c r="K26" s="24"/>
      <c r="L26" s="24"/>
      <c r="M26" s="24"/>
    </row>
    <row r="27" spans="1:13" ht="15.75" customHeight="1" x14ac:dyDescent="0.25">
      <c r="A27" s="22" t="s">
        <v>60</v>
      </c>
      <c r="B27" s="18" t="s">
        <v>44</v>
      </c>
      <c r="C27" s="19"/>
      <c r="D27" s="19"/>
      <c r="E27" s="18"/>
      <c r="F27" s="18"/>
      <c r="G27" s="18">
        <f t="shared" si="0"/>
        <v>0</v>
      </c>
      <c r="H27" s="20">
        <f t="shared" si="1"/>
        <v>0</v>
      </c>
      <c r="I27" s="18">
        <f>G65</f>
        <v>9</v>
      </c>
      <c r="J27" s="21" t="e">
        <f t="shared" ref="J27" si="5">I27/G27</f>
        <v>#DIV/0!</v>
      </c>
      <c r="K27" s="24"/>
      <c r="L27" s="24"/>
      <c r="M27" s="24"/>
    </row>
    <row r="28" spans="1:13" ht="15.75" customHeight="1" x14ac:dyDescent="0.25">
      <c r="A28" s="22" t="s">
        <v>49</v>
      </c>
      <c r="B28" s="18" t="s">
        <v>44</v>
      </c>
      <c r="C28" s="19">
        <v>0.75</v>
      </c>
      <c r="D28" s="19">
        <v>0.25</v>
      </c>
      <c r="E28" s="18">
        <v>10</v>
      </c>
      <c r="F28" s="18">
        <v>6</v>
      </c>
      <c r="G28" s="18">
        <f t="shared" si="0"/>
        <v>16</v>
      </c>
      <c r="H28" s="20">
        <f t="shared" si="1"/>
        <v>3.1936127744510975E-2</v>
      </c>
      <c r="I28" s="18">
        <f t="shared" ref="I28:I32" si="6">G65</f>
        <v>9</v>
      </c>
      <c r="J28" s="21">
        <f t="shared" si="3"/>
        <v>0.5625</v>
      </c>
      <c r="K28" s="24"/>
      <c r="L28" s="24"/>
      <c r="M28" s="24"/>
    </row>
    <row r="29" spans="1:13" ht="15.75" customHeight="1" x14ac:dyDescent="0.25">
      <c r="A29" s="22" t="s">
        <v>50</v>
      </c>
      <c r="B29" s="18" t="s">
        <v>44</v>
      </c>
      <c r="C29" s="19">
        <v>0</v>
      </c>
      <c r="D29" s="19">
        <v>1</v>
      </c>
      <c r="E29" s="18">
        <v>0</v>
      </c>
      <c r="F29" s="18">
        <v>2</v>
      </c>
      <c r="G29" s="18">
        <f t="shared" si="0"/>
        <v>2</v>
      </c>
      <c r="H29" s="20">
        <f t="shared" si="1"/>
        <v>3.9920159680638719E-3</v>
      </c>
      <c r="I29" s="18">
        <f t="shared" si="6"/>
        <v>0</v>
      </c>
      <c r="J29" s="21">
        <f t="shared" si="3"/>
        <v>0</v>
      </c>
      <c r="K29" s="24"/>
      <c r="L29" s="24"/>
      <c r="M29" s="24"/>
    </row>
    <row r="30" spans="1:13" ht="15.75" customHeight="1" x14ac:dyDescent="0.25">
      <c r="A30" s="22" t="s">
        <v>51</v>
      </c>
      <c r="B30" s="18" t="s">
        <v>44</v>
      </c>
      <c r="C30" s="19"/>
      <c r="D30" s="19"/>
      <c r="E30" s="18">
        <v>0</v>
      </c>
      <c r="F30" s="18">
        <v>2</v>
      </c>
      <c r="G30" s="18">
        <f t="shared" si="0"/>
        <v>2</v>
      </c>
      <c r="H30" s="20">
        <f t="shared" si="1"/>
        <v>3.9920159680638719E-3</v>
      </c>
      <c r="I30" s="18">
        <f t="shared" si="6"/>
        <v>1</v>
      </c>
      <c r="J30" s="21">
        <f t="shared" si="3"/>
        <v>0.5</v>
      </c>
      <c r="K30" s="24"/>
      <c r="L30" s="24"/>
      <c r="M30" s="24"/>
    </row>
    <row r="31" spans="1:13" ht="15.75" customHeight="1" x14ac:dyDescent="0.25">
      <c r="A31" s="22" t="s">
        <v>52</v>
      </c>
      <c r="B31" s="18" t="s">
        <v>44</v>
      </c>
      <c r="C31" s="19"/>
      <c r="D31" s="19"/>
      <c r="E31" s="18"/>
      <c r="F31" s="18"/>
      <c r="G31" s="18">
        <f t="shared" si="0"/>
        <v>0</v>
      </c>
      <c r="H31" s="20">
        <f t="shared" si="1"/>
        <v>0</v>
      </c>
      <c r="I31" s="18">
        <f t="shared" si="6"/>
        <v>0</v>
      </c>
      <c r="J31" s="21" t="e">
        <f t="shared" si="3"/>
        <v>#DIV/0!</v>
      </c>
      <c r="K31" s="24"/>
      <c r="L31" s="24"/>
      <c r="M31" s="24"/>
    </row>
    <row r="32" spans="1:13" ht="15.75" customHeight="1" x14ac:dyDescent="0.25">
      <c r="A32" s="22" t="s">
        <v>53</v>
      </c>
      <c r="B32" s="18" t="s">
        <v>44</v>
      </c>
      <c r="C32" s="19">
        <v>0</v>
      </c>
      <c r="D32" s="19">
        <v>1</v>
      </c>
      <c r="E32" s="18">
        <v>6</v>
      </c>
      <c r="F32" s="18">
        <v>5</v>
      </c>
      <c r="G32" s="18">
        <f t="shared" si="0"/>
        <v>11</v>
      </c>
      <c r="H32" s="20">
        <f t="shared" si="1"/>
        <v>2.1956087824351298E-2</v>
      </c>
      <c r="I32" s="18">
        <f t="shared" si="6"/>
        <v>4</v>
      </c>
      <c r="J32" s="21">
        <f t="shared" si="3"/>
        <v>0.36363636363636365</v>
      </c>
      <c r="K32" s="24"/>
      <c r="L32" s="24"/>
      <c r="M32" s="24"/>
    </row>
    <row r="33" spans="1:13" ht="15.75" customHeight="1" x14ac:dyDescent="0.25">
      <c r="A33" s="22" t="s">
        <v>61</v>
      </c>
      <c r="B33" s="18" t="s">
        <v>44</v>
      </c>
      <c r="C33" s="19"/>
      <c r="D33" s="19"/>
      <c r="E33" s="18">
        <v>1</v>
      </c>
      <c r="F33" s="18"/>
      <c r="G33" s="18">
        <f t="shared" si="0"/>
        <v>1</v>
      </c>
      <c r="H33" s="20">
        <f t="shared" si="1"/>
        <v>1.996007984031936E-3</v>
      </c>
      <c r="I33" s="18">
        <f t="shared" ref="I33" si="7">G71</f>
        <v>0</v>
      </c>
      <c r="J33" s="21">
        <f t="shared" ref="J33" si="8">I33/G33</f>
        <v>0</v>
      </c>
      <c r="K33" s="24"/>
      <c r="L33" s="24"/>
      <c r="M33" s="24"/>
    </row>
    <row r="34" spans="1:13" ht="15.75" customHeight="1" x14ac:dyDescent="0.25">
      <c r="A34" s="22" t="s">
        <v>55</v>
      </c>
      <c r="B34" s="18" t="s">
        <v>54</v>
      </c>
      <c r="C34" s="19"/>
      <c r="D34" s="19"/>
      <c r="E34" s="18"/>
      <c r="F34" s="18"/>
      <c r="G34" s="18">
        <f t="shared" si="0"/>
        <v>0</v>
      </c>
      <c r="H34" s="20">
        <f t="shared" si="1"/>
        <v>0</v>
      </c>
      <c r="I34" s="18">
        <f>G72</f>
        <v>6</v>
      </c>
      <c r="J34" s="21" t="e">
        <f t="shared" si="3"/>
        <v>#DIV/0!</v>
      </c>
      <c r="K34" s="24"/>
      <c r="L34" s="24"/>
      <c r="M34" s="24"/>
    </row>
    <row r="35" spans="1:13" ht="15.75" customHeight="1" x14ac:dyDescent="0.25">
      <c r="A35" s="22" t="s">
        <v>17</v>
      </c>
      <c r="B35" s="18" t="s">
        <v>44</v>
      </c>
      <c r="C35" s="19"/>
      <c r="D35" s="19"/>
      <c r="E35" s="18">
        <v>3</v>
      </c>
      <c r="F35" s="18">
        <v>9</v>
      </c>
      <c r="G35" s="18">
        <f t="shared" si="0"/>
        <v>12</v>
      </c>
      <c r="H35" s="20">
        <f t="shared" si="1"/>
        <v>2.3952095808383235E-2</v>
      </c>
      <c r="I35" s="18">
        <f t="shared" ref="I35" si="9">G72</f>
        <v>6</v>
      </c>
      <c r="J35" s="21">
        <f t="shared" si="3"/>
        <v>0.5</v>
      </c>
      <c r="K35" s="24"/>
      <c r="L35" s="24"/>
      <c r="M35" s="24"/>
    </row>
    <row r="36" spans="1:13" ht="15.75" customHeight="1" x14ac:dyDescent="0.25">
      <c r="A36" s="2" t="s">
        <v>3</v>
      </c>
      <c r="B36" s="2"/>
      <c r="C36" s="2"/>
      <c r="D36" s="2"/>
      <c r="E36" s="2">
        <f>SUM(E3:E35)</f>
        <v>254</v>
      </c>
      <c r="F36" s="2">
        <f>SUM(F3:F35)</f>
        <v>247</v>
      </c>
      <c r="G36" s="2">
        <f>SUM(G3:G35)</f>
        <v>501</v>
      </c>
      <c r="H36" s="25">
        <f>SUM(H3:H35)</f>
        <v>1.0000000000000002</v>
      </c>
      <c r="I36" s="2">
        <f>SUM(I3:I35)</f>
        <v>280</v>
      </c>
      <c r="J36" s="26">
        <f t="shared" si="3"/>
        <v>0.55888223552894212</v>
      </c>
      <c r="K36" s="2"/>
      <c r="L36" s="2"/>
      <c r="M36" s="2"/>
    </row>
    <row r="37" spans="1:13" ht="15.75" customHeight="1" x14ac:dyDescent="0.25">
      <c r="A37" s="1"/>
      <c r="B37" s="1"/>
      <c r="C37" s="1"/>
      <c r="D37" s="1"/>
      <c r="E37" s="1"/>
      <c r="F37" s="1"/>
      <c r="G37" s="1"/>
      <c r="H37" s="1"/>
    </row>
    <row r="38" spans="1:13" ht="15.75" customHeight="1" x14ac:dyDescent="0.25">
      <c r="A38" s="36" t="s">
        <v>22</v>
      </c>
      <c r="B38" s="37"/>
      <c r="C38" s="38" t="s">
        <v>29</v>
      </c>
      <c r="D38" s="39"/>
      <c r="E38" s="14" t="s">
        <v>56</v>
      </c>
      <c r="F38" s="14" t="s">
        <v>57</v>
      </c>
      <c r="G38" s="14"/>
    </row>
    <row r="39" spans="1:13" ht="15.75" customHeight="1" x14ac:dyDescent="0.25">
      <c r="A39" s="2" t="s">
        <v>1</v>
      </c>
      <c r="B39" s="15" t="s">
        <v>2</v>
      </c>
      <c r="C39" s="3" t="s">
        <v>30</v>
      </c>
      <c r="D39" s="3" t="s">
        <v>31</v>
      </c>
      <c r="E39" s="16" t="s">
        <v>58</v>
      </c>
      <c r="F39" s="16" t="s">
        <v>59</v>
      </c>
      <c r="G39" s="17" t="s">
        <v>3</v>
      </c>
    </row>
    <row r="40" spans="1:13" ht="15.75" customHeight="1" x14ac:dyDescent="0.25">
      <c r="A40" s="18" t="s">
        <v>5</v>
      </c>
      <c r="B40" s="18" t="s">
        <v>37</v>
      </c>
      <c r="C40" s="19">
        <v>0.73923739237392372</v>
      </c>
      <c r="D40" s="19">
        <v>0.26076260762607628</v>
      </c>
      <c r="E40" s="18">
        <v>1</v>
      </c>
      <c r="F40" s="18">
        <v>0</v>
      </c>
      <c r="G40" s="18">
        <f t="shared" ref="G40:G72" si="10">SUM(E40+F40)</f>
        <v>1</v>
      </c>
      <c r="I40" s="4"/>
    </row>
    <row r="41" spans="1:13" ht="15.75" customHeight="1" x14ac:dyDescent="0.25">
      <c r="A41" s="18" t="s">
        <v>12</v>
      </c>
      <c r="B41" s="18" t="s">
        <v>37</v>
      </c>
      <c r="C41" s="19">
        <v>1</v>
      </c>
      <c r="D41" s="19">
        <v>0</v>
      </c>
      <c r="E41" s="18"/>
      <c r="F41" s="18"/>
      <c r="G41" s="18">
        <f t="shared" si="10"/>
        <v>0</v>
      </c>
    </row>
    <row r="42" spans="1:13" ht="15.75" customHeight="1" x14ac:dyDescent="0.25">
      <c r="A42" s="18" t="s">
        <v>38</v>
      </c>
      <c r="B42" s="18" t="s">
        <v>37</v>
      </c>
      <c r="C42" s="19">
        <v>1</v>
      </c>
      <c r="D42" s="19">
        <v>0</v>
      </c>
      <c r="E42" s="18"/>
      <c r="F42" s="18"/>
      <c r="G42" s="18">
        <f t="shared" si="10"/>
        <v>0</v>
      </c>
    </row>
    <row r="43" spans="1:13" ht="15.75" customHeight="1" x14ac:dyDescent="0.25">
      <c r="A43" s="18" t="s">
        <v>7</v>
      </c>
      <c r="B43" s="18" t="s">
        <v>37</v>
      </c>
      <c r="C43" s="19">
        <v>0.49383730484798688</v>
      </c>
      <c r="D43" s="19">
        <v>0.50616269515201318</v>
      </c>
      <c r="E43" s="18">
        <v>4</v>
      </c>
      <c r="F43" s="18">
        <v>4</v>
      </c>
      <c r="G43" s="18">
        <f t="shared" si="10"/>
        <v>8</v>
      </c>
    </row>
    <row r="44" spans="1:13" ht="15.75" customHeight="1" x14ac:dyDescent="0.25">
      <c r="A44" s="18" t="s">
        <v>39</v>
      </c>
      <c r="B44" s="18" t="s">
        <v>37</v>
      </c>
      <c r="C44" s="19">
        <v>0.77163461538461542</v>
      </c>
      <c r="D44" s="19">
        <v>0.22836538461538461</v>
      </c>
      <c r="E44" s="18">
        <v>0</v>
      </c>
      <c r="F44" s="18">
        <v>1</v>
      </c>
      <c r="G44" s="18">
        <f t="shared" si="10"/>
        <v>1</v>
      </c>
    </row>
    <row r="45" spans="1:13" ht="15.75" customHeight="1" x14ac:dyDescent="0.25">
      <c r="A45" s="18" t="s">
        <v>9</v>
      </c>
      <c r="B45" s="18" t="s">
        <v>37</v>
      </c>
      <c r="C45" s="19">
        <v>0.55608028335301063</v>
      </c>
      <c r="D45" s="19">
        <v>0.44391971664698937</v>
      </c>
      <c r="E45" s="18">
        <v>3</v>
      </c>
      <c r="F45" s="18">
        <v>3</v>
      </c>
      <c r="G45" s="18">
        <f t="shared" si="10"/>
        <v>6</v>
      </c>
    </row>
    <row r="46" spans="1:13" ht="15.75" customHeight="1" x14ac:dyDescent="0.25">
      <c r="A46" s="18" t="s">
        <v>40</v>
      </c>
      <c r="B46" s="18" t="s">
        <v>37</v>
      </c>
      <c r="C46" s="19">
        <v>0.11764705882352941</v>
      </c>
      <c r="D46" s="19">
        <v>0.88235294117647056</v>
      </c>
      <c r="E46" s="18"/>
      <c r="F46" s="18"/>
      <c r="G46" s="18">
        <f t="shared" si="10"/>
        <v>0</v>
      </c>
    </row>
    <row r="47" spans="1:13" ht="15.75" customHeight="1" x14ac:dyDescent="0.25">
      <c r="A47" s="18" t="s">
        <v>8</v>
      </c>
      <c r="B47" s="18" t="s">
        <v>37</v>
      </c>
      <c r="C47" s="19">
        <v>0.76833696441539578</v>
      </c>
      <c r="D47" s="19">
        <v>0.23166303558460422</v>
      </c>
      <c r="E47" s="18"/>
      <c r="F47" s="18"/>
      <c r="G47" s="18">
        <f t="shared" si="10"/>
        <v>0</v>
      </c>
    </row>
    <row r="48" spans="1:13" ht="15.75" customHeight="1" x14ac:dyDescent="0.25">
      <c r="A48" s="18" t="s">
        <v>41</v>
      </c>
      <c r="B48" s="18" t="s">
        <v>37</v>
      </c>
      <c r="C48" s="19">
        <v>0.41358024691358025</v>
      </c>
      <c r="D48" s="19">
        <v>0.5864197530864198</v>
      </c>
      <c r="E48" s="18"/>
      <c r="F48" s="18"/>
      <c r="G48" s="18">
        <f t="shared" si="10"/>
        <v>0</v>
      </c>
    </row>
    <row r="49" spans="1:7" ht="15.75" customHeight="1" x14ac:dyDescent="0.25">
      <c r="A49" s="18" t="s">
        <v>42</v>
      </c>
      <c r="B49" s="18" t="s">
        <v>37</v>
      </c>
      <c r="C49" s="19">
        <v>0.97222222222222221</v>
      </c>
      <c r="D49" s="19">
        <v>2.7777777777777776E-2</v>
      </c>
      <c r="E49" s="18"/>
      <c r="F49" s="18"/>
      <c r="G49" s="18">
        <f t="shared" si="10"/>
        <v>0</v>
      </c>
    </row>
    <row r="50" spans="1:7" ht="15.75" customHeight="1" x14ac:dyDescent="0.25">
      <c r="A50" s="18" t="s">
        <v>16</v>
      </c>
      <c r="B50" s="18" t="s">
        <v>37</v>
      </c>
      <c r="C50" s="19">
        <v>0.86315789473684212</v>
      </c>
      <c r="D50" s="19">
        <v>0.1368421052631579</v>
      </c>
      <c r="E50" s="18">
        <v>0</v>
      </c>
      <c r="F50" s="18">
        <v>2</v>
      </c>
      <c r="G50" s="18">
        <f t="shared" si="10"/>
        <v>2</v>
      </c>
    </row>
    <row r="51" spans="1:7" ht="15.75" customHeight="1" x14ac:dyDescent="0.25">
      <c r="A51" s="18" t="s">
        <v>43</v>
      </c>
      <c r="B51" s="18" t="s">
        <v>37</v>
      </c>
      <c r="C51" s="19"/>
      <c r="D51" s="19"/>
      <c r="E51" s="18"/>
      <c r="F51" s="18"/>
      <c r="G51" s="18">
        <f t="shared" si="10"/>
        <v>0</v>
      </c>
    </row>
    <row r="52" spans="1:7" ht="15.75" customHeight="1" x14ac:dyDescent="0.25">
      <c r="A52" s="18" t="s">
        <v>14</v>
      </c>
      <c r="B52" s="18" t="s">
        <v>44</v>
      </c>
      <c r="C52" s="19">
        <v>0.8314606741573034</v>
      </c>
      <c r="D52" s="19">
        <v>0.16853932584269662</v>
      </c>
      <c r="E52" s="18">
        <v>7</v>
      </c>
      <c r="F52" s="18">
        <v>12</v>
      </c>
      <c r="G52" s="18">
        <f t="shared" si="10"/>
        <v>19</v>
      </c>
    </row>
    <row r="53" spans="1:7" ht="15.75" customHeight="1" x14ac:dyDescent="0.25">
      <c r="A53" s="18" t="s">
        <v>45</v>
      </c>
      <c r="B53" s="18" t="s">
        <v>44</v>
      </c>
      <c r="C53" s="19">
        <v>0.66666666666666663</v>
      </c>
      <c r="D53" s="19">
        <v>0.33333333333333331</v>
      </c>
      <c r="E53" s="18"/>
      <c r="F53" s="18"/>
      <c r="G53" s="18">
        <f t="shared" si="10"/>
        <v>0</v>
      </c>
    </row>
    <row r="54" spans="1:7" ht="15.75" customHeight="1" x14ac:dyDescent="0.25">
      <c r="A54" s="18" t="s">
        <v>13</v>
      </c>
      <c r="B54" s="18" t="s">
        <v>44</v>
      </c>
      <c r="C54" s="19">
        <v>0.6875</v>
      </c>
      <c r="D54" s="19">
        <v>0.3125</v>
      </c>
      <c r="E54" s="18"/>
      <c r="F54" s="18"/>
      <c r="G54" s="18">
        <f t="shared" si="10"/>
        <v>0</v>
      </c>
    </row>
    <row r="55" spans="1:7" ht="15.75" customHeight="1" x14ac:dyDescent="0.25">
      <c r="A55" s="18" t="s">
        <v>20</v>
      </c>
      <c r="B55" s="18" t="s">
        <v>44</v>
      </c>
      <c r="C55" s="19">
        <v>0.73287671232876717</v>
      </c>
      <c r="D55" s="19">
        <v>0.26712328767123289</v>
      </c>
      <c r="E55" s="18">
        <v>23</v>
      </c>
      <c r="F55" s="18">
        <v>22</v>
      </c>
      <c r="G55" s="18">
        <f t="shared" si="10"/>
        <v>45</v>
      </c>
    </row>
    <row r="56" spans="1:7" ht="15.75" customHeight="1" x14ac:dyDescent="0.25">
      <c r="A56" s="18" t="s">
        <v>46</v>
      </c>
      <c r="B56" s="18" t="s">
        <v>44</v>
      </c>
      <c r="C56" s="19">
        <v>0.7857142857142857</v>
      </c>
      <c r="D56" s="19">
        <v>0.21428571428571427</v>
      </c>
      <c r="E56" s="18">
        <v>0</v>
      </c>
      <c r="F56" s="18">
        <v>2</v>
      </c>
      <c r="G56" s="18">
        <f t="shared" si="10"/>
        <v>2</v>
      </c>
    </row>
    <row r="57" spans="1:7" ht="15.75" customHeight="1" x14ac:dyDescent="0.25">
      <c r="A57" s="18" t="s">
        <v>15</v>
      </c>
      <c r="B57" s="18" t="s">
        <v>44</v>
      </c>
      <c r="C57" s="19">
        <v>0.69463869463869465</v>
      </c>
      <c r="D57" s="19">
        <v>0.30536130536130535</v>
      </c>
      <c r="E57" s="18"/>
      <c r="F57" s="18"/>
      <c r="G57" s="18">
        <f t="shared" si="10"/>
        <v>0</v>
      </c>
    </row>
    <row r="58" spans="1:7" ht="15.75" customHeight="1" x14ac:dyDescent="0.25">
      <c r="A58" s="18" t="s">
        <v>47</v>
      </c>
      <c r="B58" s="18" t="s">
        <v>44</v>
      </c>
      <c r="C58" s="19">
        <v>0.76923076923076927</v>
      </c>
      <c r="D58" s="19">
        <v>0.23076923076923078</v>
      </c>
      <c r="E58" s="18"/>
      <c r="F58" s="18"/>
      <c r="G58" s="18">
        <f t="shared" si="10"/>
        <v>0</v>
      </c>
    </row>
    <row r="59" spans="1:7" ht="15.75" customHeight="1" x14ac:dyDescent="0.25">
      <c r="A59" s="18" t="s">
        <v>10</v>
      </c>
      <c r="B59" s="18" t="s">
        <v>44</v>
      </c>
      <c r="C59" s="19">
        <v>0.84530386740331487</v>
      </c>
      <c r="D59" s="19">
        <v>0.15469613259668508</v>
      </c>
      <c r="E59" s="18">
        <v>8</v>
      </c>
      <c r="F59" s="18">
        <v>6</v>
      </c>
      <c r="G59" s="18">
        <f t="shared" si="10"/>
        <v>14</v>
      </c>
    </row>
    <row r="60" spans="1:7" ht="15.75" customHeight="1" x14ac:dyDescent="0.25">
      <c r="A60" s="18" t="s">
        <v>18</v>
      </c>
      <c r="B60" s="18" t="s">
        <v>44</v>
      </c>
      <c r="C60" s="19">
        <v>0.75443786982248517</v>
      </c>
      <c r="D60" s="19">
        <v>0.2455621301775148</v>
      </c>
      <c r="E60" s="18"/>
      <c r="F60" s="18"/>
      <c r="G60" s="18">
        <f t="shared" si="10"/>
        <v>0</v>
      </c>
    </row>
    <row r="61" spans="1:7" ht="15.75" customHeight="1" x14ac:dyDescent="0.25">
      <c r="A61" s="18" t="s">
        <v>48</v>
      </c>
      <c r="B61" s="18" t="s">
        <v>44</v>
      </c>
      <c r="C61" s="19">
        <v>0.75</v>
      </c>
      <c r="D61" s="19">
        <v>0.25</v>
      </c>
      <c r="E61" s="18">
        <v>1</v>
      </c>
      <c r="F61" s="18">
        <v>1</v>
      </c>
      <c r="G61" s="18">
        <f t="shared" si="10"/>
        <v>2</v>
      </c>
    </row>
    <row r="62" spans="1:7" ht="15.75" customHeight="1" x14ac:dyDescent="0.25">
      <c r="A62" s="18" t="s">
        <v>21</v>
      </c>
      <c r="B62" s="18" t="s">
        <v>44</v>
      </c>
      <c r="C62" s="19">
        <v>0.83673469387755106</v>
      </c>
      <c r="D62" s="19">
        <v>0.16326530612244897</v>
      </c>
      <c r="E62" s="18">
        <v>2</v>
      </c>
      <c r="F62" s="18">
        <v>4</v>
      </c>
      <c r="G62" s="18">
        <f t="shared" si="10"/>
        <v>6</v>
      </c>
    </row>
    <row r="63" spans="1:7" ht="15.75" customHeight="1" x14ac:dyDescent="0.25">
      <c r="A63" s="18" t="s">
        <v>19</v>
      </c>
      <c r="B63" s="18" t="s">
        <v>44</v>
      </c>
      <c r="C63" s="19">
        <v>0.80071174377224197</v>
      </c>
      <c r="D63" s="19">
        <v>0.199288256227758</v>
      </c>
      <c r="E63" s="18">
        <v>79</v>
      </c>
      <c r="F63" s="18">
        <v>60</v>
      </c>
      <c r="G63" s="18">
        <f t="shared" si="10"/>
        <v>139</v>
      </c>
    </row>
    <row r="64" spans="1:7" ht="15.75" customHeight="1" x14ac:dyDescent="0.25">
      <c r="A64" s="18" t="s">
        <v>60</v>
      </c>
      <c r="B64" s="18" t="s">
        <v>44</v>
      </c>
      <c r="C64" s="19"/>
      <c r="D64" s="19"/>
      <c r="E64" s="18"/>
      <c r="F64" s="18"/>
      <c r="G64" s="18">
        <f t="shared" si="10"/>
        <v>0</v>
      </c>
    </row>
    <row r="65" spans="1:7" ht="15.75" customHeight="1" x14ac:dyDescent="0.25">
      <c r="A65" s="18" t="s">
        <v>49</v>
      </c>
      <c r="B65" s="18" t="s">
        <v>44</v>
      </c>
      <c r="C65" s="19">
        <v>0.80952380952380953</v>
      </c>
      <c r="D65" s="19">
        <v>0.19047619047619047</v>
      </c>
      <c r="E65" s="18">
        <v>4</v>
      </c>
      <c r="F65" s="18">
        <v>5</v>
      </c>
      <c r="G65" s="18">
        <f t="shared" si="10"/>
        <v>9</v>
      </c>
    </row>
    <row r="66" spans="1:7" ht="15.75" customHeight="1" x14ac:dyDescent="0.25">
      <c r="A66" s="18" t="s">
        <v>50</v>
      </c>
      <c r="B66" s="18" t="s">
        <v>44</v>
      </c>
      <c r="C66" s="19">
        <v>0.42857142857142855</v>
      </c>
      <c r="D66" s="19">
        <v>0.5714285714285714</v>
      </c>
      <c r="E66" s="18"/>
      <c r="F66" s="18"/>
      <c r="G66" s="18">
        <f t="shared" si="10"/>
        <v>0</v>
      </c>
    </row>
    <row r="67" spans="1:7" ht="15.75" customHeight="1" x14ac:dyDescent="0.25">
      <c r="A67" s="18" t="s">
        <v>51</v>
      </c>
      <c r="B67" s="18" t="s">
        <v>44</v>
      </c>
      <c r="C67" s="19">
        <v>1</v>
      </c>
      <c r="D67" s="19">
        <v>0</v>
      </c>
      <c r="E67" s="18">
        <v>0</v>
      </c>
      <c r="F67" s="18">
        <v>1</v>
      </c>
      <c r="G67" s="18">
        <f t="shared" si="10"/>
        <v>1</v>
      </c>
    </row>
    <row r="68" spans="1:7" ht="15.75" customHeight="1" x14ac:dyDescent="0.25">
      <c r="A68" s="18" t="s">
        <v>52</v>
      </c>
      <c r="B68" s="18" t="s">
        <v>44</v>
      </c>
      <c r="C68" s="19">
        <v>0</v>
      </c>
      <c r="D68" s="19">
        <v>1</v>
      </c>
      <c r="E68" s="18"/>
      <c r="F68" s="18"/>
      <c r="G68" s="18">
        <f t="shared" si="10"/>
        <v>0</v>
      </c>
    </row>
    <row r="69" spans="1:7" ht="15.75" customHeight="1" x14ac:dyDescent="0.25">
      <c r="A69" s="18" t="s">
        <v>53</v>
      </c>
      <c r="B69" s="18" t="s">
        <v>44</v>
      </c>
      <c r="C69" s="19">
        <v>1</v>
      </c>
      <c r="D69" s="19">
        <v>0</v>
      </c>
      <c r="E69" s="18">
        <v>1</v>
      </c>
      <c r="F69" s="18">
        <v>3</v>
      </c>
      <c r="G69" s="18">
        <f t="shared" si="10"/>
        <v>4</v>
      </c>
    </row>
    <row r="70" spans="1:7" ht="15.75" customHeight="1" x14ac:dyDescent="0.25">
      <c r="A70" s="18" t="s">
        <v>61</v>
      </c>
      <c r="B70" s="18" t="s">
        <v>44</v>
      </c>
      <c r="C70" s="19"/>
      <c r="D70" s="19"/>
      <c r="E70" s="18">
        <v>1</v>
      </c>
      <c r="F70" s="18"/>
      <c r="G70" s="18">
        <f t="shared" si="10"/>
        <v>1</v>
      </c>
    </row>
    <row r="71" spans="1:7" ht="15.75" customHeight="1" x14ac:dyDescent="0.25">
      <c r="A71" s="18" t="s">
        <v>55</v>
      </c>
      <c r="B71" s="18" t="s">
        <v>54</v>
      </c>
      <c r="C71" s="19"/>
      <c r="D71" s="19"/>
      <c r="E71" s="18"/>
      <c r="F71" s="18"/>
      <c r="G71" s="18">
        <f t="shared" ref="G71" si="11">SUM(E71+F71)</f>
        <v>0</v>
      </c>
    </row>
    <row r="72" spans="1:7" ht="15.75" customHeight="1" x14ac:dyDescent="0.25">
      <c r="A72" s="18" t="s">
        <v>17</v>
      </c>
      <c r="B72" s="18" t="s">
        <v>44</v>
      </c>
      <c r="C72" s="19">
        <v>0.75</v>
      </c>
      <c r="D72" s="19">
        <v>0.25</v>
      </c>
      <c r="E72" s="18">
        <v>1</v>
      </c>
      <c r="F72" s="18">
        <v>5</v>
      </c>
      <c r="G72" s="18">
        <f t="shared" si="10"/>
        <v>6</v>
      </c>
    </row>
    <row r="73" spans="1:7" ht="15.75" customHeight="1" x14ac:dyDescent="0.25">
      <c r="A73" s="2" t="s">
        <v>3</v>
      </c>
      <c r="B73" s="2"/>
      <c r="C73" s="13"/>
      <c r="D73" s="13"/>
      <c r="E73" s="13">
        <f>SUM(E40:E72)</f>
        <v>135</v>
      </c>
      <c r="F73" s="13">
        <f>SUM(F40:F72)</f>
        <v>131</v>
      </c>
      <c r="G73" s="2">
        <f>SUM(G40:G72)</f>
        <v>266</v>
      </c>
    </row>
    <row r="74" spans="1:7" ht="15.75" customHeight="1" x14ac:dyDescent="0.25"/>
    <row r="75" spans="1:7" ht="15.75" customHeight="1" x14ac:dyDescent="0.25">
      <c r="A75" s="44" t="s">
        <v>24</v>
      </c>
      <c r="B75" s="45"/>
      <c r="C75" s="46"/>
      <c r="D75" s="27"/>
      <c r="E75" s="14" t="s">
        <v>56</v>
      </c>
      <c r="F75" s="14" t="s">
        <v>57</v>
      </c>
      <c r="G75" s="14"/>
    </row>
    <row r="76" spans="1:7" ht="15.75" customHeight="1" x14ac:dyDescent="0.25">
      <c r="A76" s="47"/>
      <c r="B76" s="48"/>
      <c r="C76" s="49"/>
      <c r="D76" s="28"/>
      <c r="E76" s="16" t="s">
        <v>58</v>
      </c>
      <c r="F76" s="16" t="s">
        <v>59</v>
      </c>
      <c r="G76" s="2" t="s">
        <v>3</v>
      </c>
    </row>
    <row r="77" spans="1:7" ht="15.75" customHeight="1" x14ac:dyDescent="0.25">
      <c r="A77" s="33" t="s">
        <v>25</v>
      </c>
      <c r="B77" s="34"/>
      <c r="C77" s="35"/>
      <c r="D77" s="29"/>
      <c r="E77" s="22">
        <f>E36</f>
        <v>254</v>
      </c>
      <c r="F77" s="22">
        <f>F36</f>
        <v>247</v>
      </c>
      <c r="G77" s="18">
        <f>SUM(E77+F77)</f>
        <v>501</v>
      </c>
    </row>
    <row r="78" spans="1:7" ht="15.75" customHeight="1" x14ac:dyDescent="0.25">
      <c r="A78" s="33" t="s">
        <v>26</v>
      </c>
      <c r="B78" s="34"/>
      <c r="C78" s="35"/>
      <c r="D78" s="29"/>
      <c r="E78" s="22">
        <f>E73</f>
        <v>135</v>
      </c>
      <c r="F78" s="22">
        <f>F73</f>
        <v>131</v>
      </c>
      <c r="G78" s="18">
        <f>SUM(E78+F78)</f>
        <v>266</v>
      </c>
    </row>
    <row r="79" spans="1:7" ht="15.75" customHeight="1" x14ac:dyDescent="0.25">
      <c r="A79" s="33" t="s">
        <v>27</v>
      </c>
      <c r="B79" s="34"/>
      <c r="C79" s="35"/>
      <c r="D79" s="29"/>
      <c r="E79" s="30">
        <f>E78/E77</f>
        <v>0.53149606299212604</v>
      </c>
      <c r="F79" s="30">
        <f>F78/F77</f>
        <v>0.53036437246963564</v>
      </c>
      <c r="G79" s="30">
        <f t="shared" ref="G79" si="12">G78/G77</f>
        <v>0.53093812375249505</v>
      </c>
    </row>
    <row r="80" spans="1:7" ht="15.75" customHeight="1" x14ac:dyDescent="0.25"/>
    <row r="81" spans="1:3" ht="15.75" customHeight="1" x14ac:dyDescent="0.25"/>
    <row r="82" spans="1:3" ht="15.75" customHeight="1" x14ac:dyDescent="0.25">
      <c r="A82" s="5" t="s">
        <v>28</v>
      </c>
    </row>
    <row r="83" spans="1:3" ht="15.75" customHeight="1" x14ac:dyDescent="0.25">
      <c r="A83" s="6" t="s">
        <v>6</v>
      </c>
      <c r="B83" s="7">
        <f>SUM(G3:G14)</f>
        <v>136</v>
      </c>
      <c r="C83" s="31">
        <f>B83/B85</f>
        <v>0.27145708582834333</v>
      </c>
    </row>
    <row r="84" spans="1:3" ht="15.75" customHeight="1" x14ac:dyDescent="0.25">
      <c r="A84" s="8" t="s">
        <v>11</v>
      </c>
      <c r="B84" s="9">
        <f>SUM(G15:G35)</f>
        <v>365</v>
      </c>
      <c r="C84" s="32">
        <f>B84/B85</f>
        <v>0.72854291417165673</v>
      </c>
    </row>
    <row r="85" spans="1:3" ht="15.75" customHeight="1" x14ac:dyDescent="0.25">
      <c r="A85" s="10" t="s">
        <v>23</v>
      </c>
      <c r="B85" s="11">
        <f>SUBTOTAL(9,B83:B84)</f>
        <v>501</v>
      </c>
      <c r="C85" s="12">
        <f>C83+C84</f>
        <v>1</v>
      </c>
    </row>
    <row r="86" spans="1:3" ht="15.75" customHeight="1" x14ac:dyDescent="0.25"/>
    <row r="87" spans="1:3" ht="15.75" customHeight="1" x14ac:dyDescent="0.25"/>
    <row r="88" spans="1:3" ht="15.75" customHeight="1" x14ac:dyDescent="0.25"/>
    <row r="89" spans="1:3" ht="15.75" customHeight="1" x14ac:dyDescent="0.25"/>
    <row r="90" spans="1:3" ht="15.75" customHeight="1" x14ac:dyDescent="0.25"/>
    <row r="91" spans="1:3" ht="15.75" customHeight="1" x14ac:dyDescent="0.25"/>
    <row r="92" spans="1:3" ht="15.75" customHeight="1" x14ac:dyDescent="0.25"/>
    <row r="93" spans="1:3" ht="15.75" customHeight="1" x14ac:dyDescent="0.25"/>
    <row r="94" spans="1:3" ht="15.75" customHeight="1" x14ac:dyDescent="0.25"/>
    <row r="95" spans="1:3" ht="15.75" customHeight="1" x14ac:dyDescent="0.25"/>
    <row r="96" spans="1: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</sheetData>
  <mergeCells count="8">
    <mergeCell ref="A79:C79"/>
    <mergeCell ref="A38:B38"/>
    <mergeCell ref="C38:D38"/>
    <mergeCell ref="A1:B1"/>
    <mergeCell ref="C1:D1"/>
    <mergeCell ref="A75:C76"/>
    <mergeCell ref="A77:C77"/>
    <mergeCell ref="A78:C7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17</dc:creator>
  <cp:lastModifiedBy>IT 17</cp:lastModifiedBy>
  <dcterms:created xsi:type="dcterms:W3CDTF">2026-01-14T11:07:11Z</dcterms:created>
  <dcterms:modified xsi:type="dcterms:W3CDTF">2026-08-04T17:10:24Z</dcterms:modified>
</cp:coreProperties>
</file>